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dc62b743c9d3a0/LBDHHS/"/>
    </mc:Choice>
  </mc:AlternateContent>
  <xr:revisionPtr revIDLastSave="0" documentId="8_{3DFC3393-520E-4F74-8FAF-B5CDE92C5D84}" xr6:coauthVersionLast="47" xr6:coauthVersionMax="47" xr10:uidLastSave="{00000000-0000-0000-0000-000000000000}"/>
  <bookViews>
    <workbookView xWindow="-108" yWindow="-108" windowWidth="23256" windowHeight="12456" tabRatio="974" activeTab="5" xr2:uid="{93D216C9-0E26-41AB-A87A-6D0C36FDD605}"/>
  </bookViews>
  <sheets>
    <sheet name="Long Beach (2023)" sheetId="38" r:id="rId1"/>
    <sheet name="Race_Ethnicity (2023)" sheetId="39" r:id="rId2"/>
    <sheet name="RACE BY YEAR" sheetId="35" r:id="rId3"/>
    <sheet name="GEN AND TOTAL BY YEAR" sheetId="36" r:id="rId4"/>
    <sheet name="US Population 2020" sheetId="26" r:id="rId5"/>
    <sheet name="CT 2021" sheetId="32" r:id="rId6"/>
    <sheet name="Zip and Year" sheetId="31" r:id="rId7"/>
    <sheet name="Zip, Gender, Age by Yea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38" l="1"/>
  <c r="C295" i="31"/>
  <c r="D295" i="31"/>
  <c r="E295" i="31"/>
  <c r="F295" i="31"/>
  <c r="G295" i="31"/>
  <c r="H295" i="31"/>
  <c r="I295" i="31"/>
  <c r="J295" i="31"/>
  <c r="K295" i="31"/>
  <c r="L295" i="31"/>
  <c r="C296" i="31"/>
  <c r="D296" i="31"/>
  <c r="E296" i="31"/>
  <c r="F296" i="31"/>
  <c r="G296" i="31"/>
  <c r="H296" i="31"/>
  <c r="I296" i="31"/>
  <c r="J296" i="31"/>
  <c r="K296" i="31"/>
  <c r="L296" i="31"/>
  <c r="C297" i="31"/>
  <c r="D297" i="31"/>
  <c r="E297" i="31"/>
  <c r="F297" i="31"/>
  <c r="G297" i="31"/>
  <c r="H297" i="31"/>
  <c r="I297" i="31"/>
  <c r="J297" i="31"/>
  <c r="K297" i="31"/>
  <c r="L297" i="31"/>
  <c r="C298" i="31"/>
  <c r="D298" i="31"/>
  <c r="E298" i="31"/>
  <c r="F298" i="31"/>
  <c r="G298" i="31"/>
  <c r="H298" i="31"/>
  <c r="I298" i="31"/>
  <c r="J298" i="31"/>
  <c r="K298" i="31"/>
  <c r="L298" i="31"/>
  <c r="C299" i="31"/>
  <c r="D299" i="31"/>
  <c r="E299" i="31"/>
  <c r="F299" i="31"/>
  <c r="G299" i="31"/>
  <c r="H299" i="31"/>
  <c r="I299" i="31"/>
  <c r="J299" i="31"/>
  <c r="K299" i="31"/>
  <c r="L299" i="31"/>
  <c r="C300" i="31"/>
  <c r="D300" i="31"/>
  <c r="E300" i="31"/>
  <c r="F300" i="31"/>
  <c r="G300" i="31"/>
  <c r="H300" i="31"/>
  <c r="I300" i="31"/>
  <c r="J300" i="31"/>
  <c r="K300" i="31"/>
  <c r="L300" i="31"/>
  <c r="C301" i="31"/>
  <c r="D301" i="31"/>
  <c r="E301" i="31"/>
  <c r="F301" i="31"/>
  <c r="G301" i="31"/>
  <c r="H301" i="31"/>
  <c r="I301" i="31"/>
  <c r="J301" i="31"/>
  <c r="K301" i="31"/>
  <c r="L301" i="31"/>
  <c r="B301" i="31"/>
  <c r="B300" i="31"/>
  <c r="B299" i="31"/>
  <c r="B298" i="31"/>
  <c r="B297" i="31"/>
  <c r="B296" i="31"/>
  <c r="B295" i="31"/>
  <c r="B302" i="31"/>
  <c r="C302" i="31"/>
  <c r="D302" i="31"/>
  <c r="E302" i="31"/>
  <c r="F302" i="31"/>
  <c r="G302" i="31"/>
  <c r="H302" i="31"/>
  <c r="I302" i="31"/>
  <c r="J302" i="31"/>
  <c r="K302" i="31"/>
  <c r="L302" i="31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3" i="35"/>
  <c r="P54" i="35"/>
  <c r="P55" i="35"/>
  <c r="P56" i="35"/>
  <c r="P57" i="35"/>
  <c r="P58" i="35"/>
  <c r="P59" i="35"/>
  <c r="P60" i="35"/>
  <c r="AF35" i="35"/>
  <c r="AF36" i="35"/>
  <c r="AF37" i="35"/>
  <c r="AF38" i="35"/>
  <c r="AF39" i="35"/>
  <c r="AF40" i="35"/>
  <c r="AF41" i="35"/>
  <c r="AF42" i="35"/>
  <c r="AF43" i="35"/>
  <c r="AF44" i="35"/>
  <c r="AF45" i="35"/>
  <c r="AF46" i="35"/>
  <c r="AF47" i="35"/>
  <c r="AF48" i="35"/>
  <c r="AF49" i="35"/>
  <c r="AF50" i="35"/>
  <c r="AF53" i="35"/>
  <c r="AF54" i="35"/>
  <c r="AF55" i="35"/>
  <c r="AF56" i="35"/>
  <c r="AF57" i="35"/>
  <c r="AF58" i="35"/>
  <c r="AF59" i="35"/>
  <c r="AF60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3" i="35"/>
  <c r="X54" i="35"/>
  <c r="X55" i="35"/>
  <c r="X56" i="35"/>
  <c r="X57" i="35"/>
  <c r="X58" i="35"/>
  <c r="X59" i="35"/>
  <c r="X60" i="35"/>
  <c r="H35" i="35"/>
  <c r="H36" i="35"/>
  <c r="H53" i="35" s="1"/>
  <c r="H37" i="35"/>
  <c r="H38" i="35"/>
  <c r="H39" i="35"/>
  <c r="H40" i="35"/>
  <c r="H41" i="35"/>
  <c r="H42" i="35"/>
  <c r="H43" i="35"/>
  <c r="H44" i="35"/>
  <c r="H45" i="35"/>
  <c r="H46" i="35"/>
  <c r="H47" i="35"/>
  <c r="H58" i="35" s="1"/>
  <c r="H48" i="35"/>
  <c r="H49" i="35"/>
  <c r="H50" i="35"/>
  <c r="N24" i="39"/>
  <c r="C90" i="38"/>
  <c r="G17" i="38"/>
  <c r="L17" i="38" s="1"/>
  <c r="G93" i="39"/>
  <c r="F93" i="39"/>
  <c r="E93" i="39"/>
  <c r="D93" i="39"/>
  <c r="C93" i="39"/>
  <c r="B93" i="39"/>
  <c r="G92" i="39"/>
  <c r="F92" i="39"/>
  <c r="E92" i="39"/>
  <c r="D92" i="39"/>
  <c r="C92" i="39"/>
  <c r="B92" i="39"/>
  <c r="G91" i="39"/>
  <c r="F91" i="39"/>
  <c r="E91" i="39"/>
  <c r="D91" i="39"/>
  <c r="C91" i="39"/>
  <c r="B91" i="39"/>
  <c r="G90" i="39"/>
  <c r="F90" i="39"/>
  <c r="E90" i="39"/>
  <c r="D90" i="39"/>
  <c r="N90" i="39" s="1"/>
  <c r="C90" i="39"/>
  <c r="B90" i="39"/>
  <c r="G89" i="39"/>
  <c r="F89" i="39"/>
  <c r="E89" i="39"/>
  <c r="D89" i="39"/>
  <c r="N89" i="39" s="1"/>
  <c r="C89" i="39"/>
  <c r="B89" i="39"/>
  <c r="G88" i="39"/>
  <c r="F88" i="39"/>
  <c r="E88" i="39"/>
  <c r="D88" i="39"/>
  <c r="C88" i="39"/>
  <c r="B88" i="39"/>
  <c r="G87" i="39"/>
  <c r="F87" i="39"/>
  <c r="E87" i="39"/>
  <c r="E94" i="39" s="1"/>
  <c r="D87" i="39"/>
  <c r="C87" i="39"/>
  <c r="B87" i="39"/>
  <c r="N86" i="39"/>
  <c r="N85" i="39"/>
  <c r="G83" i="39"/>
  <c r="F83" i="39"/>
  <c r="E83" i="39"/>
  <c r="D83" i="39"/>
  <c r="C83" i="39"/>
  <c r="B83" i="39"/>
  <c r="G82" i="39"/>
  <c r="F82" i="39"/>
  <c r="E82" i="39"/>
  <c r="D82" i="39"/>
  <c r="N82" i="39" s="1"/>
  <c r="C82" i="39"/>
  <c r="B82" i="39"/>
  <c r="G81" i="39"/>
  <c r="F81" i="39"/>
  <c r="E81" i="39"/>
  <c r="D81" i="39"/>
  <c r="C81" i="39"/>
  <c r="B81" i="39"/>
  <c r="G80" i="39"/>
  <c r="F80" i="39"/>
  <c r="E80" i="39"/>
  <c r="D80" i="39"/>
  <c r="N80" i="39" s="1"/>
  <c r="C80" i="39"/>
  <c r="B80" i="39"/>
  <c r="G79" i="39"/>
  <c r="F79" i="39"/>
  <c r="E79" i="39"/>
  <c r="D79" i="39"/>
  <c r="C79" i="39"/>
  <c r="B79" i="39"/>
  <c r="G78" i="39"/>
  <c r="F78" i="39"/>
  <c r="E78" i="39"/>
  <c r="D78" i="39"/>
  <c r="C78" i="39"/>
  <c r="B78" i="39"/>
  <c r="G77" i="39"/>
  <c r="F77" i="39"/>
  <c r="F84" i="39" s="1"/>
  <c r="E77" i="39"/>
  <c r="D77" i="39"/>
  <c r="N77" i="39" s="1"/>
  <c r="C77" i="39"/>
  <c r="B77" i="39"/>
  <c r="N76" i="39"/>
  <c r="N75" i="39"/>
  <c r="N66" i="39"/>
  <c r="N65" i="39"/>
  <c r="N58" i="39"/>
  <c r="N57" i="39"/>
  <c r="G55" i="39"/>
  <c r="G63" i="39" s="1"/>
  <c r="F55" i="39"/>
  <c r="F63" i="39" s="1"/>
  <c r="E55" i="39"/>
  <c r="E63" i="39" s="1"/>
  <c r="D55" i="39"/>
  <c r="D63" i="39" s="1"/>
  <c r="C55" i="39"/>
  <c r="C63" i="39" s="1"/>
  <c r="B55" i="39"/>
  <c r="G54" i="39"/>
  <c r="G73" i="39" s="1"/>
  <c r="F54" i="39"/>
  <c r="E54" i="39"/>
  <c r="D54" i="39"/>
  <c r="N54" i="39" s="1"/>
  <c r="C54" i="39"/>
  <c r="B54" i="39"/>
  <c r="G53" i="39"/>
  <c r="G72" i="39" s="1"/>
  <c r="F53" i="39"/>
  <c r="F72" i="39" s="1"/>
  <c r="E53" i="39"/>
  <c r="E72" i="39" s="1"/>
  <c r="D53" i="39"/>
  <c r="C53" i="39"/>
  <c r="B53" i="39"/>
  <c r="B72" i="39" s="1"/>
  <c r="G52" i="39"/>
  <c r="F52" i="39"/>
  <c r="E52" i="39"/>
  <c r="D52" i="39"/>
  <c r="C52" i="39"/>
  <c r="B52" i="39"/>
  <c r="G51" i="39"/>
  <c r="G61" i="39" s="1"/>
  <c r="F51" i="39"/>
  <c r="E51" i="39"/>
  <c r="E61" i="39" s="1"/>
  <c r="D51" i="39"/>
  <c r="D71" i="39" s="1"/>
  <c r="C51" i="39"/>
  <c r="C61" i="39" s="1"/>
  <c r="B51" i="39"/>
  <c r="G50" i="39"/>
  <c r="F50" i="39"/>
  <c r="E50" i="39"/>
  <c r="D50" i="39"/>
  <c r="N50" i="39" s="1"/>
  <c r="C50" i="39"/>
  <c r="B50" i="39"/>
  <c r="G49" i="39"/>
  <c r="F49" i="39"/>
  <c r="E49" i="39"/>
  <c r="D49" i="39"/>
  <c r="C49" i="39"/>
  <c r="B49" i="39"/>
  <c r="G48" i="39"/>
  <c r="F48" i="39"/>
  <c r="E48" i="39"/>
  <c r="D48" i="39"/>
  <c r="D70" i="39" s="1"/>
  <c r="C48" i="39"/>
  <c r="B48" i="39"/>
  <c r="G47" i="39"/>
  <c r="F47" i="39"/>
  <c r="E47" i="39"/>
  <c r="D47" i="39"/>
  <c r="D60" i="39" s="1"/>
  <c r="C47" i="39"/>
  <c r="B47" i="39"/>
  <c r="G46" i="39"/>
  <c r="F46" i="39"/>
  <c r="E46" i="39"/>
  <c r="D46" i="39"/>
  <c r="N46" i="39" s="1"/>
  <c r="C46" i="39"/>
  <c r="B46" i="39"/>
  <c r="G45" i="39"/>
  <c r="F45" i="39"/>
  <c r="E45" i="39"/>
  <c r="D45" i="39"/>
  <c r="C45" i="39"/>
  <c r="B45" i="39"/>
  <c r="G44" i="39"/>
  <c r="F44" i="39"/>
  <c r="E44" i="39"/>
  <c r="D44" i="39"/>
  <c r="C44" i="39"/>
  <c r="B44" i="39"/>
  <c r="G43" i="39"/>
  <c r="F43" i="39"/>
  <c r="E43" i="39"/>
  <c r="E68" i="39" s="1"/>
  <c r="D43" i="39"/>
  <c r="D68" i="39" s="1"/>
  <c r="C43" i="39"/>
  <c r="B43" i="39"/>
  <c r="G42" i="39"/>
  <c r="F42" i="39"/>
  <c r="F67" i="39" s="1"/>
  <c r="E42" i="39"/>
  <c r="E67" i="39" s="1"/>
  <c r="D42" i="39"/>
  <c r="D67" i="39" s="1"/>
  <c r="C42" i="39"/>
  <c r="C67" i="39" s="1"/>
  <c r="B42" i="39"/>
  <c r="G41" i="39"/>
  <c r="F41" i="39"/>
  <c r="E41" i="39"/>
  <c r="D41" i="39"/>
  <c r="C41" i="39"/>
  <c r="B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K24" i="39"/>
  <c r="J24" i="39"/>
  <c r="N23" i="39"/>
  <c r="K23" i="39"/>
  <c r="J23" i="39"/>
  <c r="N22" i="39"/>
  <c r="K22" i="39"/>
  <c r="J22" i="39"/>
  <c r="N21" i="39"/>
  <c r="K21" i="39"/>
  <c r="J21" i="39"/>
  <c r="N20" i="39"/>
  <c r="K20" i="39"/>
  <c r="J20" i="39"/>
  <c r="N19" i="39"/>
  <c r="K19" i="39"/>
  <c r="J19" i="39"/>
  <c r="N18" i="39"/>
  <c r="N17" i="39"/>
  <c r="N16" i="39"/>
  <c r="N15" i="39"/>
  <c r="N14" i="39"/>
  <c r="N13" i="39"/>
  <c r="N12" i="39"/>
  <c r="N11" i="39"/>
  <c r="N10" i="39"/>
  <c r="N9" i="39"/>
  <c r="AH221" i="21"/>
  <c r="AE221" i="21"/>
  <c r="AB221" i="21"/>
  <c r="Y221" i="21"/>
  <c r="V221" i="21"/>
  <c r="S221" i="21"/>
  <c r="P221" i="21"/>
  <c r="M221" i="21"/>
  <c r="J221" i="21"/>
  <c r="G221" i="21"/>
  <c r="D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D230" i="21"/>
  <c r="D227" i="21"/>
  <c r="D222" i="21"/>
  <c r="D223" i="21"/>
  <c r="D224" i="21"/>
  <c r="D225" i="21"/>
  <c r="D226" i="21"/>
  <c r="D228" i="21"/>
  <c r="D229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B29" i="38"/>
  <c r="B74" i="38"/>
  <c r="C89" i="38"/>
  <c r="C91" i="38"/>
  <c r="C92" i="38"/>
  <c r="C93" i="38"/>
  <c r="C94" i="38"/>
  <c r="C95" i="38"/>
  <c r="C96" i="38"/>
  <c r="B89" i="38"/>
  <c r="D84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38" i="38"/>
  <c r="L27" i="38"/>
  <c r="L28" i="38"/>
  <c r="L29" i="38"/>
  <c r="L30" i="38"/>
  <c r="L31" i="38"/>
  <c r="L32" i="38"/>
  <c r="L33" i="38"/>
  <c r="L34" i="38"/>
  <c r="L35" i="38"/>
  <c r="L26" i="38"/>
  <c r="L18" i="38"/>
  <c r="L19" i="38"/>
  <c r="L20" i="38"/>
  <c r="L21" i="38"/>
  <c r="L22" i="38"/>
  <c r="L23" i="38"/>
  <c r="L16" i="38"/>
  <c r="G35" i="38"/>
  <c r="G34" i="38"/>
  <c r="G33" i="38"/>
  <c r="G32" i="38"/>
  <c r="G31" i="38"/>
  <c r="G30" i="38"/>
  <c r="G23" i="38"/>
  <c r="G22" i="38"/>
  <c r="G21" i="38"/>
  <c r="G20" i="38"/>
  <c r="G19" i="38"/>
  <c r="G18" i="38"/>
  <c r="B37" i="38"/>
  <c r="L13" i="38"/>
  <c r="L12" i="38"/>
  <c r="L11" i="38"/>
  <c r="L10" i="38"/>
  <c r="L9" i="38"/>
  <c r="L8" i="38"/>
  <c r="D74" i="38"/>
  <c r="D75" i="38"/>
  <c r="D76" i="38"/>
  <c r="D77" i="38"/>
  <c r="D78" i="38"/>
  <c r="D79" i="38"/>
  <c r="B80" i="38"/>
  <c r="D80" i="38"/>
  <c r="D73" i="38"/>
  <c r="B48" i="38"/>
  <c r="B49" i="38"/>
  <c r="B47" i="38"/>
  <c r="B46" i="38"/>
  <c r="B41" i="38"/>
  <c r="B40" i="38"/>
  <c r="B39" i="38"/>
  <c r="B38" i="38"/>
  <c r="B34" i="38"/>
  <c r="B33" i="38"/>
  <c r="B32" i="38"/>
  <c r="C88" i="38"/>
  <c r="C73" i="38"/>
  <c r="C74" i="38"/>
  <c r="C75" i="38"/>
  <c r="C76" i="38"/>
  <c r="C77" i="38"/>
  <c r="C78" i="38"/>
  <c r="C79" i="38"/>
  <c r="C80" i="38"/>
  <c r="B73" i="38"/>
  <c r="B75" i="38"/>
  <c r="B76" i="38"/>
  <c r="B77" i="38"/>
  <c r="B78" i="38"/>
  <c r="B79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B31" i="38"/>
  <c r="B30" i="38"/>
  <c r="B28" i="38"/>
  <c r="H13" i="38"/>
  <c r="AM49" i="35"/>
  <c r="AL49" i="35"/>
  <c r="AK49" i="35"/>
  <c r="AJ49" i="35"/>
  <c r="AI49" i="35"/>
  <c r="AH49" i="35"/>
  <c r="AM48" i="35"/>
  <c r="AM59" i="35"/>
  <c r="AL48" i="35"/>
  <c r="AL59" i="35"/>
  <c r="AK48" i="35"/>
  <c r="AK59" i="35"/>
  <c r="AJ48" i="35"/>
  <c r="AJ59" i="35"/>
  <c r="AI48" i="35"/>
  <c r="AI59" i="35"/>
  <c r="AH48" i="35"/>
  <c r="AH59" i="35"/>
  <c r="AM47" i="35"/>
  <c r="AM58" i="35"/>
  <c r="AL47" i="35"/>
  <c r="AL58" i="35"/>
  <c r="AK47" i="35"/>
  <c r="AK58" i="35"/>
  <c r="AJ47" i="35"/>
  <c r="AJ58" i="35"/>
  <c r="AI47" i="35"/>
  <c r="AI58" i="35"/>
  <c r="AH47" i="35"/>
  <c r="AH58" i="35"/>
  <c r="AM46" i="35"/>
  <c r="AL46" i="35"/>
  <c r="AK46" i="35"/>
  <c r="AJ46" i="35"/>
  <c r="AI46" i="35"/>
  <c r="AH46" i="35"/>
  <c r="AM45" i="35"/>
  <c r="AM57" i="35"/>
  <c r="AL45" i="35"/>
  <c r="AL57" i="35"/>
  <c r="AK45" i="35"/>
  <c r="AK57" i="35"/>
  <c r="AJ45" i="35"/>
  <c r="AJ57" i="35"/>
  <c r="AI45" i="35"/>
  <c r="AI57" i="35"/>
  <c r="AH45" i="35"/>
  <c r="AH57" i="35"/>
  <c r="AM44" i="35"/>
  <c r="AL44" i="35"/>
  <c r="AK44" i="35"/>
  <c r="AJ44" i="35"/>
  <c r="AI44" i="35"/>
  <c r="AH44" i="35"/>
  <c r="AM43" i="35"/>
  <c r="AL43" i="35"/>
  <c r="AK43" i="35"/>
  <c r="AJ43" i="35"/>
  <c r="AI43" i="35"/>
  <c r="AH43" i="35"/>
  <c r="AM42" i="35"/>
  <c r="AM56" i="35"/>
  <c r="AL42" i="35"/>
  <c r="AL56" i="35"/>
  <c r="AK42" i="35"/>
  <c r="AK56" i="35"/>
  <c r="AJ42" i="35"/>
  <c r="AJ56" i="35"/>
  <c r="AI42" i="35"/>
  <c r="AI56" i="35"/>
  <c r="AH42" i="35"/>
  <c r="AH56" i="35"/>
  <c r="AM41" i="35"/>
  <c r="AL41" i="35"/>
  <c r="AK41" i="35"/>
  <c r="AJ41" i="35"/>
  <c r="AI41" i="35"/>
  <c r="AH41" i="35"/>
  <c r="AM40" i="35"/>
  <c r="AL40" i="35"/>
  <c r="AK40" i="35"/>
  <c r="AJ40" i="35"/>
  <c r="AI40" i="35"/>
  <c r="AH40" i="35"/>
  <c r="AM39" i="35"/>
  <c r="AM55" i="35"/>
  <c r="AL39" i="35"/>
  <c r="AL55" i="35"/>
  <c r="AK39" i="35"/>
  <c r="AK55" i="35"/>
  <c r="AJ39" i="35"/>
  <c r="AJ55" i="35"/>
  <c r="AI39" i="35"/>
  <c r="AI55" i="35"/>
  <c r="AH39" i="35"/>
  <c r="AH55" i="35"/>
  <c r="AM38" i="35"/>
  <c r="AL38" i="35"/>
  <c r="AK38" i="35"/>
  <c r="AJ38" i="35"/>
  <c r="AI38" i="35"/>
  <c r="AH38" i="35"/>
  <c r="AM37" i="35"/>
  <c r="AM54" i="35"/>
  <c r="AL37" i="35"/>
  <c r="AL54" i="35"/>
  <c r="AK37" i="35"/>
  <c r="AK54" i="35"/>
  <c r="AJ37" i="35"/>
  <c r="AJ54" i="35"/>
  <c r="AI37" i="35"/>
  <c r="AI54" i="35"/>
  <c r="AH37" i="35"/>
  <c r="AH54" i="35"/>
  <c r="AM36" i="35"/>
  <c r="AL36" i="35"/>
  <c r="AK36" i="35"/>
  <c r="AJ36" i="35"/>
  <c r="AI36" i="35"/>
  <c r="AH36" i="35"/>
  <c r="AM35" i="35"/>
  <c r="AL35" i="35"/>
  <c r="AK35" i="35"/>
  <c r="AJ35" i="35"/>
  <c r="AI35" i="35"/>
  <c r="AH35" i="35"/>
  <c r="L22" i="36"/>
  <c r="M22" i="36"/>
  <c r="N22" i="36"/>
  <c r="O22" i="36"/>
  <c r="P22" i="36"/>
  <c r="K22" i="36"/>
  <c r="L15" i="36"/>
  <c r="M15" i="36"/>
  <c r="N15" i="36"/>
  <c r="O15" i="36"/>
  <c r="P15" i="36"/>
  <c r="L16" i="36"/>
  <c r="M16" i="36"/>
  <c r="N16" i="36"/>
  <c r="O16" i="36"/>
  <c r="P16" i="36"/>
  <c r="L17" i="36"/>
  <c r="M17" i="36"/>
  <c r="N17" i="36"/>
  <c r="O17" i="36"/>
  <c r="P17" i="36"/>
  <c r="L18" i="36"/>
  <c r="M18" i="36"/>
  <c r="N18" i="36"/>
  <c r="O18" i="36"/>
  <c r="P18" i="36"/>
  <c r="L19" i="36"/>
  <c r="M19" i="36"/>
  <c r="N19" i="36"/>
  <c r="O19" i="36"/>
  <c r="P19" i="36"/>
  <c r="L20" i="36"/>
  <c r="M20" i="36"/>
  <c r="N20" i="36"/>
  <c r="O20" i="36"/>
  <c r="P20" i="36"/>
  <c r="L21" i="36"/>
  <c r="M21" i="36"/>
  <c r="N21" i="36"/>
  <c r="O21" i="36"/>
  <c r="P21" i="36"/>
  <c r="K21" i="36"/>
  <c r="K20" i="36"/>
  <c r="K19" i="36"/>
  <c r="K18" i="36"/>
  <c r="K17" i="36"/>
  <c r="K16" i="36"/>
  <c r="K15" i="36"/>
  <c r="L4" i="36"/>
  <c r="M4" i="36"/>
  <c r="N4" i="36"/>
  <c r="O4" i="36"/>
  <c r="P4" i="36"/>
  <c r="L5" i="36"/>
  <c r="M5" i="36"/>
  <c r="N5" i="36"/>
  <c r="O5" i="36"/>
  <c r="P5" i="36"/>
  <c r="L6" i="36"/>
  <c r="M6" i="36"/>
  <c r="N6" i="36"/>
  <c r="O6" i="36"/>
  <c r="P6" i="36"/>
  <c r="L7" i="36"/>
  <c r="M7" i="36"/>
  <c r="N7" i="36"/>
  <c r="O7" i="36"/>
  <c r="P7" i="36"/>
  <c r="L8" i="36"/>
  <c r="M8" i="36"/>
  <c r="N8" i="36"/>
  <c r="O8" i="36"/>
  <c r="P8" i="36"/>
  <c r="L9" i="36"/>
  <c r="M9" i="36"/>
  <c r="N9" i="36"/>
  <c r="O9" i="36"/>
  <c r="P9" i="36"/>
  <c r="L10" i="36"/>
  <c r="M10" i="36"/>
  <c r="N10" i="36"/>
  <c r="O10" i="36"/>
  <c r="P10" i="36"/>
  <c r="K10" i="36"/>
  <c r="K9" i="36"/>
  <c r="K8" i="36"/>
  <c r="K7" i="36"/>
  <c r="K6" i="36"/>
  <c r="K5" i="36"/>
  <c r="K4" i="36"/>
  <c r="K11" i="36"/>
  <c r="B77" i="36"/>
  <c r="C77" i="36"/>
  <c r="D77" i="36"/>
  <c r="E77" i="36"/>
  <c r="F77" i="36"/>
  <c r="G77" i="36"/>
  <c r="B76" i="36"/>
  <c r="B57" i="36"/>
  <c r="B56" i="36"/>
  <c r="B83" i="36"/>
  <c r="B55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C73" i="36"/>
  <c r="D73" i="36"/>
  <c r="E73" i="36"/>
  <c r="F73" i="36"/>
  <c r="C74" i="36"/>
  <c r="D74" i="36"/>
  <c r="E74" i="36"/>
  <c r="F74" i="36"/>
  <c r="C75" i="36"/>
  <c r="D75" i="36"/>
  <c r="E75" i="36"/>
  <c r="F75" i="36"/>
  <c r="C76" i="36"/>
  <c r="D76" i="36"/>
  <c r="E76" i="36"/>
  <c r="F76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88" i="36"/>
  <c r="B37" i="35"/>
  <c r="Z35" i="35"/>
  <c r="AA35" i="35"/>
  <c r="AB35" i="35"/>
  <c r="AC35" i="35"/>
  <c r="AD35" i="35"/>
  <c r="AE35" i="35"/>
  <c r="Z36" i="35"/>
  <c r="Z53" i="35" s="1"/>
  <c r="AA36" i="35"/>
  <c r="AA53" i="35" s="1"/>
  <c r="AB36" i="35"/>
  <c r="AB53" i="35" s="1"/>
  <c r="AC36" i="35"/>
  <c r="AC53" i="35" s="1"/>
  <c r="AD36" i="35"/>
  <c r="AD53" i="35" s="1"/>
  <c r="AE36" i="35"/>
  <c r="AE53" i="35" s="1"/>
  <c r="Z37" i="35"/>
  <c r="AA37" i="35"/>
  <c r="AB37" i="35"/>
  <c r="AC37" i="35"/>
  <c r="AD37" i="35"/>
  <c r="AE37" i="35"/>
  <c r="Z38" i="35"/>
  <c r="AA38" i="35"/>
  <c r="AB38" i="35"/>
  <c r="AC38" i="35"/>
  <c r="AD38" i="35"/>
  <c r="AE38" i="35"/>
  <c r="Z39" i="35"/>
  <c r="AA39" i="35"/>
  <c r="AB39" i="35"/>
  <c r="AC39" i="35"/>
  <c r="AD39" i="35"/>
  <c r="AE39" i="35"/>
  <c r="Z40" i="35"/>
  <c r="AA40" i="35"/>
  <c r="AB40" i="35"/>
  <c r="AC40" i="35"/>
  <c r="AD40" i="35"/>
  <c r="AE40" i="35"/>
  <c r="Z41" i="35"/>
  <c r="AA41" i="35"/>
  <c r="AB41" i="35"/>
  <c r="AC41" i="35"/>
  <c r="AD41" i="35"/>
  <c r="AE41" i="35"/>
  <c r="Z42" i="35"/>
  <c r="AA42" i="35"/>
  <c r="AB42" i="35"/>
  <c r="AC42" i="35"/>
  <c r="AD42" i="35"/>
  <c r="AE42" i="35"/>
  <c r="Z43" i="35"/>
  <c r="AA43" i="35"/>
  <c r="AB43" i="35"/>
  <c r="AC43" i="35"/>
  <c r="AD43" i="35"/>
  <c r="AE43" i="35"/>
  <c r="Z44" i="35"/>
  <c r="AA44" i="35"/>
  <c r="AB44" i="35"/>
  <c r="AC44" i="35"/>
  <c r="AD44" i="35"/>
  <c r="AE44" i="35"/>
  <c r="Z45" i="35"/>
  <c r="AA45" i="35"/>
  <c r="AB45" i="35"/>
  <c r="AC45" i="35"/>
  <c r="AD45" i="35"/>
  <c r="AE45" i="35"/>
  <c r="Z46" i="35"/>
  <c r="AA46" i="35"/>
  <c r="AB46" i="35"/>
  <c r="AC46" i="35"/>
  <c r="AD46" i="35"/>
  <c r="AE46" i="35"/>
  <c r="Z47" i="35"/>
  <c r="Z58" i="35" s="1"/>
  <c r="AA47" i="35"/>
  <c r="AA58" i="35" s="1"/>
  <c r="AB47" i="35"/>
  <c r="AB58" i="35" s="1"/>
  <c r="AC47" i="35"/>
  <c r="AC58" i="35" s="1"/>
  <c r="AD47" i="35"/>
  <c r="AD58" i="35" s="1"/>
  <c r="AE47" i="35"/>
  <c r="AE58" i="35" s="1"/>
  <c r="Z48" i="35"/>
  <c r="AA48" i="35"/>
  <c r="AB48" i="35"/>
  <c r="AC48" i="35"/>
  <c r="AD48" i="35"/>
  <c r="AE48" i="35"/>
  <c r="Z49" i="35"/>
  <c r="AA49" i="35"/>
  <c r="AB49" i="35"/>
  <c r="AC49" i="35"/>
  <c r="AD49" i="35"/>
  <c r="AE49" i="35"/>
  <c r="Z50" i="35"/>
  <c r="AA50" i="35"/>
  <c r="AB50" i="35"/>
  <c r="AC50" i="35"/>
  <c r="AD50" i="35"/>
  <c r="AE50" i="35"/>
  <c r="R35" i="35"/>
  <c r="S35" i="35"/>
  <c r="T35" i="35"/>
  <c r="U35" i="35"/>
  <c r="V35" i="35"/>
  <c r="W35" i="35"/>
  <c r="R36" i="35"/>
  <c r="R53" i="35" s="1"/>
  <c r="S36" i="35"/>
  <c r="S53" i="35" s="1"/>
  <c r="T36" i="35"/>
  <c r="T53" i="35" s="1"/>
  <c r="U36" i="35"/>
  <c r="U53" i="35" s="1"/>
  <c r="V36" i="35"/>
  <c r="V53" i="35" s="1"/>
  <c r="W36" i="35"/>
  <c r="W53" i="35" s="1"/>
  <c r="R37" i="35"/>
  <c r="S37" i="35"/>
  <c r="T37" i="35"/>
  <c r="U37" i="35"/>
  <c r="V37" i="35"/>
  <c r="W37" i="35"/>
  <c r="R38" i="35"/>
  <c r="S38" i="35"/>
  <c r="T38" i="35"/>
  <c r="U38" i="35"/>
  <c r="V38" i="35"/>
  <c r="W38" i="35"/>
  <c r="R39" i="35"/>
  <c r="S39" i="35"/>
  <c r="T39" i="35"/>
  <c r="U39" i="35"/>
  <c r="V39" i="35"/>
  <c r="W39" i="35"/>
  <c r="R40" i="35"/>
  <c r="S40" i="35"/>
  <c r="T40" i="35"/>
  <c r="U40" i="35"/>
  <c r="V40" i="35"/>
  <c r="W40" i="35"/>
  <c r="R41" i="35"/>
  <c r="S41" i="35"/>
  <c r="T41" i="35"/>
  <c r="U41" i="35"/>
  <c r="V41" i="35"/>
  <c r="W41" i="35"/>
  <c r="R42" i="35"/>
  <c r="S42" i="35"/>
  <c r="T42" i="35"/>
  <c r="U42" i="35"/>
  <c r="V42" i="35"/>
  <c r="W42" i="35"/>
  <c r="R43" i="35"/>
  <c r="S43" i="35"/>
  <c r="T43" i="35"/>
  <c r="U43" i="35"/>
  <c r="V43" i="35"/>
  <c r="W43" i="35"/>
  <c r="R44" i="35"/>
  <c r="S44" i="35"/>
  <c r="T44" i="35"/>
  <c r="U44" i="35"/>
  <c r="V44" i="35"/>
  <c r="W44" i="35"/>
  <c r="R45" i="35"/>
  <c r="S45" i="35"/>
  <c r="T45" i="35"/>
  <c r="U45" i="35"/>
  <c r="V45" i="35"/>
  <c r="W45" i="35"/>
  <c r="R46" i="35"/>
  <c r="S46" i="35"/>
  <c r="T46" i="35"/>
  <c r="U46" i="35"/>
  <c r="V46" i="35"/>
  <c r="W46" i="35"/>
  <c r="R47" i="35"/>
  <c r="R58" i="35" s="1"/>
  <c r="S47" i="35"/>
  <c r="S58" i="35" s="1"/>
  <c r="T47" i="35"/>
  <c r="T58" i="35" s="1"/>
  <c r="U47" i="35"/>
  <c r="U58" i="35" s="1"/>
  <c r="V47" i="35"/>
  <c r="V58" i="35" s="1"/>
  <c r="W47" i="35"/>
  <c r="W58" i="35" s="1"/>
  <c r="R48" i="35"/>
  <c r="S48" i="35"/>
  <c r="T48" i="35"/>
  <c r="U48" i="35"/>
  <c r="V48" i="35"/>
  <c r="W48" i="35"/>
  <c r="R49" i="35"/>
  <c r="S49" i="35"/>
  <c r="T49" i="35"/>
  <c r="U49" i="35"/>
  <c r="V49" i="35"/>
  <c r="W49" i="35"/>
  <c r="R50" i="35"/>
  <c r="S50" i="35"/>
  <c r="T50" i="35"/>
  <c r="U50" i="35"/>
  <c r="V50" i="35"/>
  <c r="W50" i="35"/>
  <c r="O35" i="35"/>
  <c r="O36" i="35"/>
  <c r="O53" i="35" s="1"/>
  <c r="O37" i="35"/>
  <c r="O38" i="35"/>
  <c r="O39" i="35"/>
  <c r="O40" i="35"/>
  <c r="O41" i="35"/>
  <c r="O42" i="35"/>
  <c r="O43" i="35"/>
  <c r="O44" i="35"/>
  <c r="O45" i="35"/>
  <c r="O46" i="35"/>
  <c r="O47" i="35"/>
  <c r="O58" i="35" s="1"/>
  <c r="O48" i="35"/>
  <c r="O49" i="35"/>
  <c r="O50" i="35"/>
  <c r="G35" i="35"/>
  <c r="G36" i="35"/>
  <c r="G53" i="35" s="1"/>
  <c r="G37" i="35"/>
  <c r="G38" i="35"/>
  <c r="G39" i="35"/>
  <c r="G40" i="35"/>
  <c r="G41" i="35"/>
  <c r="G42" i="35"/>
  <c r="G43" i="35"/>
  <c r="G44" i="35"/>
  <c r="G45" i="35"/>
  <c r="G46" i="35"/>
  <c r="G47" i="35"/>
  <c r="G58" i="35" s="1"/>
  <c r="G48" i="35"/>
  <c r="G49" i="35"/>
  <c r="G50" i="35"/>
  <c r="K35" i="35"/>
  <c r="L35" i="35"/>
  <c r="M35" i="35"/>
  <c r="N35" i="35"/>
  <c r="K36" i="35"/>
  <c r="K53" i="35" s="1"/>
  <c r="L36" i="35"/>
  <c r="L53" i="35" s="1"/>
  <c r="M36" i="35"/>
  <c r="M53" i="35" s="1"/>
  <c r="N36" i="35"/>
  <c r="N53" i="35" s="1"/>
  <c r="K37" i="35"/>
  <c r="L37" i="35"/>
  <c r="M37" i="35"/>
  <c r="N37" i="35"/>
  <c r="K38" i="35"/>
  <c r="L38" i="35"/>
  <c r="M38" i="35"/>
  <c r="N38" i="35"/>
  <c r="K39" i="35"/>
  <c r="L39" i="35"/>
  <c r="M39" i="35"/>
  <c r="N39" i="35"/>
  <c r="K40" i="35"/>
  <c r="L40" i="35"/>
  <c r="M40" i="35"/>
  <c r="N40" i="35"/>
  <c r="K41" i="35"/>
  <c r="L41" i="35"/>
  <c r="M41" i="35"/>
  <c r="N41" i="35"/>
  <c r="K42" i="35"/>
  <c r="L42" i="35"/>
  <c r="M42" i="35"/>
  <c r="N42" i="35"/>
  <c r="K43" i="35"/>
  <c r="L43" i="35"/>
  <c r="M43" i="35"/>
  <c r="N43" i="35"/>
  <c r="K44" i="35"/>
  <c r="L44" i="35"/>
  <c r="M44" i="35"/>
  <c r="N44" i="35"/>
  <c r="K45" i="35"/>
  <c r="L45" i="35"/>
  <c r="M45" i="35"/>
  <c r="N45" i="35"/>
  <c r="K46" i="35"/>
  <c r="L46" i="35"/>
  <c r="M46" i="35"/>
  <c r="N46" i="35"/>
  <c r="K47" i="35"/>
  <c r="K58" i="35" s="1"/>
  <c r="L47" i="35"/>
  <c r="L58" i="35" s="1"/>
  <c r="M47" i="35"/>
  <c r="M58" i="35" s="1"/>
  <c r="N47" i="35"/>
  <c r="N58" i="35" s="1"/>
  <c r="K48" i="35"/>
  <c r="L48" i="35"/>
  <c r="M48" i="35"/>
  <c r="N48" i="35"/>
  <c r="K49" i="35"/>
  <c r="L49" i="35"/>
  <c r="M49" i="35"/>
  <c r="N49" i="35"/>
  <c r="K50" i="35"/>
  <c r="L50" i="35"/>
  <c r="M50" i="35"/>
  <c r="N50" i="35"/>
  <c r="J35" i="35"/>
  <c r="J36" i="35"/>
  <c r="J53" i="35" s="1"/>
  <c r="J37" i="35"/>
  <c r="J38" i="35"/>
  <c r="J39" i="35"/>
  <c r="J40" i="35"/>
  <c r="J41" i="35"/>
  <c r="J42" i="35"/>
  <c r="J43" i="35"/>
  <c r="J44" i="35"/>
  <c r="J45" i="35"/>
  <c r="J46" i="35"/>
  <c r="J47" i="35"/>
  <c r="J58" i="35" s="1"/>
  <c r="J48" i="35"/>
  <c r="J49" i="35"/>
  <c r="J50" i="35"/>
  <c r="C35" i="35"/>
  <c r="D35" i="35"/>
  <c r="E35" i="35"/>
  <c r="F35" i="35"/>
  <c r="C36" i="35"/>
  <c r="C53" i="35" s="1"/>
  <c r="D36" i="35"/>
  <c r="D53" i="35" s="1"/>
  <c r="E36" i="35"/>
  <c r="E53" i="35" s="1"/>
  <c r="F36" i="35"/>
  <c r="F53" i="35" s="1"/>
  <c r="C37" i="35"/>
  <c r="D37" i="35"/>
  <c r="E37" i="35"/>
  <c r="F37" i="35"/>
  <c r="C38" i="35"/>
  <c r="D38" i="35"/>
  <c r="E38" i="35"/>
  <c r="F38" i="35"/>
  <c r="C39" i="35"/>
  <c r="D39" i="35"/>
  <c r="E39" i="35"/>
  <c r="F39" i="35"/>
  <c r="C40" i="35"/>
  <c r="D40" i="35"/>
  <c r="E40" i="35"/>
  <c r="F40" i="35"/>
  <c r="C41" i="35"/>
  <c r="D41" i="35"/>
  <c r="E41" i="35"/>
  <c r="F41" i="35"/>
  <c r="C42" i="35"/>
  <c r="D42" i="35"/>
  <c r="E42" i="35"/>
  <c r="F42" i="35"/>
  <c r="C43" i="35"/>
  <c r="D43" i="35"/>
  <c r="E43" i="35"/>
  <c r="F43" i="35"/>
  <c r="C44" i="35"/>
  <c r="D44" i="35"/>
  <c r="E44" i="35"/>
  <c r="F44" i="35"/>
  <c r="C45" i="35"/>
  <c r="D45" i="35"/>
  <c r="E45" i="35"/>
  <c r="F45" i="35"/>
  <c r="C46" i="35"/>
  <c r="D46" i="35"/>
  <c r="E46" i="35"/>
  <c r="F46" i="35"/>
  <c r="C47" i="35"/>
  <c r="C58" i="35" s="1"/>
  <c r="D47" i="35"/>
  <c r="D58" i="35" s="1"/>
  <c r="E47" i="35"/>
  <c r="E58" i="35" s="1"/>
  <c r="F47" i="35"/>
  <c r="F58" i="35" s="1"/>
  <c r="C48" i="35"/>
  <c r="D48" i="35"/>
  <c r="E48" i="35"/>
  <c r="F48" i="35"/>
  <c r="C49" i="35"/>
  <c r="D49" i="35"/>
  <c r="E49" i="35"/>
  <c r="F49" i="35"/>
  <c r="C50" i="35"/>
  <c r="D50" i="35"/>
  <c r="E50" i="35"/>
  <c r="F50" i="35"/>
  <c r="B49" i="35"/>
  <c r="B48" i="35"/>
  <c r="B59" i="35" s="1"/>
  <c r="B47" i="35"/>
  <c r="B58" i="35" s="1"/>
  <c r="B46" i="35"/>
  <c r="B45" i="35"/>
  <c r="B57" i="35" s="1"/>
  <c r="B44" i="35"/>
  <c r="B43" i="35"/>
  <c r="B42" i="35"/>
  <c r="B56" i="35" s="1"/>
  <c r="B41" i="35"/>
  <c r="B40" i="35"/>
  <c r="B39" i="35"/>
  <c r="B55" i="35" s="1"/>
  <c r="B38" i="35"/>
  <c r="B36" i="35"/>
  <c r="B53" i="35" s="1"/>
  <c r="B50" i="35"/>
  <c r="B35" i="35"/>
  <c r="D187" i="21"/>
  <c r="C187" i="21"/>
  <c r="B187" i="21"/>
  <c r="B183" i="21"/>
  <c r="E264" i="31"/>
  <c r="F264" i="31"/>
  <c r="G264" i="31"/>
  <c r="H264" i="31"/>
  <c r="I264" i="31"/>
  <c r="J264" i="31"/>
  <c r="K264" i="31"/>
  <c r="L264" i="31"/>
  <c r="D264" i="31"/>
  <c r="C264" i="31"/>
  <c r="B264" i="31"/>
  <c r="H263" i="31"/>
  <c r="D263" i="31"/>
  <c r="E263" i="31"/>
  <c r="F263" i="31"/>
  <c r="G263" i="31"/>
  <c r="I263" i="31"/>
  <c r="J263" i="31"/>
  <c r="K263" i="31"/>
  <c r="L263" i="31"/>
  <c r="C263" i="31"/>
  <c r="B263" i="31"/>
  <c r="F262" i="31"/>
  <c r="E262" i="31"/>
  <c r="D262" i="31"/>
  <c r="C262" i="31"/>
  <c r="B262" i="31"/>
  <c r="G262" i="31"/>
  <c r="H262" i="31"/>
  <c r="I262" i="31"/>
  <c r="J262" i="31"/>
  <c r="K262" i="31"/>
  <c r="L262" i="31"/>
  <c r="E261" i="31"/>
  <c r="F261" i="31"/>
  <c r="G261" i="31"/>
  <c r="H261" i="31"/>
  <c r="I261" i="31"/>
  <c r="J261" i="31"/>
  <c r="K261" i="31"/>
  <c r="L261" i="31"/>
  <c r="D261" i="31"/>
  <c r="C261" i="31"/>
  <c r="B261" i="31"/>
  <c r="E260" i="31"/>
  <c r="D260" i="31"/>
  <c r="F260" i="31"/>
  <c r="G260" i="31"/>
  <c r="H260" i="31"/>
  <c r="I260" i="31"/>
  <c r="J260" i="31"/>
  <c r="K260" i="31"/>
  <c r="L260" i="31"/>
  <c r="C260" i="31"/>
  <c r="B260" i="31"/>
  <c r="D259" i="31"/>
  <c r="E259" i="31"/>
  <c r="F259" i="31"/>
  <c r="G259" i="31"/>
  <c r="H259" i="31"/>
  <c r="I259" i="31"/>
  <c r="J259" i="31"/>
  <c r="K259" i="31"/>
  <c r="L259" i="31"/>
  <c r="C259" i="31"/>
  <c r="B259" i="31"/>
  <c r="B226" i="31"/>
  <c r="B225" i="31"/>
  <c r="B221" i="31"/>
  <c r="AK193" i="21"/>
  <c r="AN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193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193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H53" i="35"/>
  <c r="AH60" i="35"/>
  <c r="AH50" i="35"/>
  <c r="AI53" i="35"/>
  <c r="AI60" i="35"/>
  <c r="AI50" i="35"/>
  <c r="AJ53" i="35"/>
  <c r="AJ60" i="35"/>
  <c r="AJ50" i="35"/>
  <c r="AK53" i="35"/>
  <c r="AK60" i="35"/>
  <c r="AK50" i="35"/>
  <c r="AL53" i="35"/>
  <c r="AL60" i="35"/>
  <c r="AL50" i="35"/>
  <c r="AM53" i="35"/>
  <c r="AM60" i="35"/>
  <c r="AM50" i="35"/>
  <c r="P11" i="36"/>
  <c r="O11" i="36"/>
  <c r="N11" i="36"/>
  <c r="M11" i="36"/>
  <c r="L11" i="36"/>
  <c r="B87" i="36"/>
  <c r="B86" i="36"/>
  <c r="B85" i="36"/>
  <c r="B84" i="36"/>
  <c r="F88" i="36"/>
  <c r="E88" i="36"/>
  <c r="D88" i="36"/>
  <c r="C88" i="36"/>
  <c r="F87" i="36"/>
  <c r="E87" i="36"/>
  <c r="D87" i="36"/>
  <c r="C87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F83" i="36"/>
  <c r="E83" i="36"/>
  <c r="D83" i="36"/>
  <c r="C83" i="36"/>
  <c r="F82" i="36"/>
  <c r="F89" i="36"/>
  <c r="F78" i="36"/>
  <c r="E82" i="36"/>
  <c r="E89" i="36"/>
  <c r="E78" i="36"/>
  <c r="D82" i="36"/>
  <c r="D89" i="36"/>
  <c r="D78" i="36"/>
  <c r="C82" i="36"/>
  <c r="C89" i="36"/>
  <c r="C78" i="36"/>
  <c r="G88" i="36"/>
  <c r="G87" i="36"/>
  <c r="G86" i="36"/>
  <c r="G85" i="36"/>
  <c r="G84" i="36"/>
  <c r="G83" i="36"/>
  <c r="G82" i="36"/>
  <c r="G89" i="36"/>
  <c r="G78" i="36"/>
  <c r="B82" i="36"/>
  <c r="B89" i="36"/>
  <c r="B78" i="36"/>
  <c r="AI217" i="21"/>
  <c r="AJ217" i="21"/>
  <c r="AB194" i="21"/>
  <c r="AB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B70" i="31"/>
  <c r="L186" i="21"/>
  <c r="L185" i="21"/>
  <c r="L184" i="21"/>
  <c r="K186" i="21"/>
  <c r="K185" i="21"/>
  <c r="K184" i="21"/>
  <c r="J186" i="21"/>
  <c r="J185" i="21"/>
  <c r="J184" i="21"/>
  <c r="I186" i="21"/>
  <c r="I185" i="21"/>
  <c r="I184" i="21"/>
  <c r="H186" i="21"/>
  <c r="H185" i="21"/>
  <c r="H184" i="21"/>
  <c r="G186" i="21"/>
  <c r="G185" i="21"/>
  <c r="G184" i="21"/>
  <c r="F186" i="21"/>
  <c r="F185" i="21"/>
  <c r="F184" i="21"/>
  <c r="E183" i="21"/>
  <c r="E187" i="21"/>
  <c r="E186" i="21"/>
  <c r="E185" i="21"/>
  <c r="E184" i="21"/>
  <c r="D186" i="21"/>
  <c r="D185" i="21"/>
  <c r="C186" i="21"/>
  <c r="C185" i="21"/>
  <c r="B186" i="21"/>
  <c r="B185" i="21"/>
  <c r="D184" i="21"/>
  <c r="C184" i="21"/>
  <c r="B184" i="21"/>
  <c r="G187" i="21"/>
  <c r="H187" i="21"/>
  <c r="I187" i="21"/>
  <c r="J187" i="21"/>
  <c r="K187" i="21"/>
  <c r="L187" i="21"/>
  <c r="L183" i="21"/>
  <c r="K183" i="21"/>
  <c r="J183" i="21"/>
  <c r="I183" i="21"/>
  <c r="H183" i="21"/>
  <c r="G183" i="21"/>
  <c r="F183" i="21"/>
  <c r="D183" i="21"/>
  <c r="C183" i="21"/>
  <c r="F187" i="21"/>
  <c r="F69" i="31"/>
  <c r="L226" i="31"/>
  <c r="K226" i="31"/>
  <c r="J226" i="31"/>
  <c r="I226" i="31"/>
  <c r="H226" i="31"/>
  <c r="G226" i="31"/>
  <c r="F226" i="31"/>
  <c r="E226" i="31"/>
  <c r="D226" i="31"/>
  <c r="C226" i="31"/>
  <c r="L225" i="31"/>
  <c r="K225" i="31"/>
  <c r="J225" i="31"/>
  <c r="I225" i="31"/>
  <c r="H225" i="31"/>
  <c r="G225" i="31"/>
  <c r="F225" i="31"/>
  <c r="E225" i="31"/>
  <c r="D225" i="31"/>
  <c r="C225" i="31"/>
  <c r="L224" i="31"/>
  <c r="K224" i="31"/>
  <c r="J224" i="31"/>
  <c r="I224" i="31"/>
  <c r="H224" i="31"/>
  <c r="G224" i="31"/>
  <c r="F224" i="31"/>
  <c r="E224" i="31"/>
  <c r="D224" i="31"/>
  <c r="C224" i="31"/>
  <c r="B224" i="31"/>
  <c r="L223" i="31"/>
  <c r="K223" i="31"/>
  <c r="J223" i="31"/>
  <c r="I223" i="31"/>
  <c r="H223" i="31"/>
  <c r="G223" i="31"/>
  <c r="F223" i="31"/>
  <c r="E223" i="31"/>
  <c r="D223" i="31"/>
  <c r="C223" i="31"/>
  <c r="B223" i="31"/>
  <c r="L222" i="31"/>
  <c r="K222" i="31"/>
  <c r="J222" i="31"/>
  <c r="I222" i="31"/>
  <c r="H222" i="31"/>
  <c r="G222" i="31"/>
  <c r="F222" i="31"/>
  <c r="E222" i="31"/>
  <c r="D222" i="31"/>
  <c r="C222" i="31"/>
  <c r="B222" i="31"/>
  <c r="L221" i="31"/>
  <c r="K221" i="31"/>
  <c r="J221" i="31"/>
  <c r="I221" i="31"/>
  <c r="H221" i="31"/>
  <c r="G221" i="31"/>
  <c r="F221" i="31"/>
  <c r="E221" i="31"/>
  <c r="D221" i="31"/>
  <c r="C221" i="31"/>
  <c r="L220" i="31"/>
  <c r="K220" i="31"/>
  <c r="J220" i="31"/>
  <c r="I220" i="31"/>
  <c r="H220" i="31"/>
  <c r="G220" i="31"/>
  <c r="F220" i="31"/>
  <c r="E220" i="31"/>
  <c r="D220" i="31"/>
  <c r="C220" i="31"/>
  <c r="B220" i="31"/>
  <c r="L188" i="31"/>
  <c r="K188" i="31"/>
  <c r="J188" i="31"/>
  <c r="I188" i="31"/>
  <c r="H188" i="31"/>
  <c r="G188" i="31"/>
  <c r="F188" i="31"/>
  <c r="E188" i="31"/>
  <c r="D188" i="31"/>
  <c r="C188" i="31"/>
  <c r="B188" i="31"/>
  <c r="L187" i="31"/>
  <c r="K187" i="31"/>
  <c r="J187" i="31"/>
  <c r="I187" i="31"/>
  <c r="H187" i="31"/>
  <c r="G187" i="31"/>
  <c r="F187" i="31"/>
  <c r="E187" i="31"/>
  <c r="D187" i="31"/>
  <c r="C187" i="31"/>
  <c r="B187" i="31"/>
  <c r="L186" i="31"/>
  <c r="K186" i="31"/>
  <c r="J186" i="31"/>
  <c r="I186" i="31"/>
  <c r="H186" i="31"/>
  <c r="G186" i="31"/>
  <c r="F186" i="31"/>
  <c r="E186" i="31"/>
  <c r="D186" i="31"/>
  <c r="C186" i="31"/>
  <c r="B186" i="31"/>
  <c r="L185" i="31"/>
  <c r="K185" i="31"/>
  <c r="J185" i="31"/>
  <c r="I185" i="31"/>
  <c r="H185" i="31"/>
  <c r="G185" i="31"/>
  <c r="F185" i="31"/>
  <c r="E185" i="31"/>
  <c r="D185" i="31"/>
  <c r="C185" i="31"/>
  <c r="B185" i="31"/>
  <c r="L184" i="31"/>
  <c r="K184" i="31"/>
  <c r="J184" i="31"/>
  <c r="I184" i="31"/>
  <c r="H184" i="31"/>
  <c r="G184" i="31"/>
  <c r="F184" i="31"/>
  <c r="E184" i="31"/>
  <c r="D184" i="31"/>
  <c r="C184" i="31"/>
  <c r="B184" i="31"/>
  <c r="L183" i="31"/>
  <c r="K183" i="31"/>
  <c r="J183" i="31"/>
  <c r="I183" i="31"/>
  <c r="H183" i="31"/>
  <c r="G183" i="31"/>
  <c r="F183" i="31"/>
  <c r="E183" i="31"/>
  <c r="D183" i="31"/>
  <c r="C183" i="31"/>
  <c r="B183" i="31"/>
  <c r="L182" i="31"/>
  <c r="K182" i="31"/>
  <c r="J182" i="31"/>
  <c r="I182" i="31"/>
  <c r="H182" i="31"/>
  <c r="G182" i="31"/>
  <c r="F182" i="31"/>
  <c r="E182" i="31"/>
  <c r="D182" i="31"/>
  <c r="C182" i="31"/>
  <c r="B182" i="31"/>
  <c r="L150" i="31"/>
  <c r="K150" i="31"/>
  <c r="J150" i="31"/>
  <c r="I150" i="31"/>
  <c r="H150" i="31"/>
  <c r="G150" i="31"/>
  <c r="F150" i="31"/>
  <c r="E150" i="31"/>
  <c r="D150" i="31"/>
  <c r="C150" i="31"/>
  <c r="B150" i="31"/>
  <c r="L149" i="31"/>
  <c r="K149" i="31"/>
  <c r="J149" i="31"/>
  <c r="I149" i="31"/>
  <c r="H149" i="31"/>
  <c r="G149" i="31"/>
  <c r="F149" i="31"/>
  <c r="E149" i="31"/>
  <c r="D149" i="31"/>
  <c r="C149" i="31"/>
  <c r="B149" i="31"/>
  <c r="L148" i="31"/>
  <c r="K148" i="31"/>
  <c r="J148" i="31"/>
  <c r="I148" i="31"/>
  <c r="H148" i="31"/>
  <c r="G148" i="31"/>
  <c r="F148" i="31"/>
  <c r="E148" i="31"/>
  <c r="D148" i="31"/>
  <c r="C148" i="31"/>
  <c r="B148" i="31"/>
  <c r="L147" i="31"/>
  <c r="K147" i="31"/>
  <c r="J147" i="31"/>
  <c r="I147" i="31"/>
  <c r="H147" i="31"/>
  <c r="G147" i="31"/>
  <c r="F147" i="31"/>
  <c r="E147" i="31"/>
  <c r="D147" i="31"/>
  <c r="C147" i="31"/>
  <c r="B147" i="31"/>
  <c r="L146" i="31"/>
  <c r="K146" i="31"/>
  <c r="J146" i="31"/>
  <c r="I146" i="31"/>
  <c r="H146" i="31"/>
  <c r="G146" i="31"/>
  <c r="F146" i="31"/>
  <c r="E146" i="31"/>
  <c r="D146" i="31"/>
  <c r="C146" i="31"/>
  <c r="B146" i="31"/>
  <c r="L145" i="31"/>
  <c r="K145" i="31"/>
  <c r="J145" i="31"/>
  <c r="I145" i="31"/>
  <c r="H145" i="31"/>
  <c r="G145" i="31"/>
  <c r="F145" i="31"/>
  <c r="E145" i="31"/>
  <c r="D145" i="31"/>
  <c r="C145" i="31"/>
  <c r="B145" i="31"/>
  <c r="L144" i="31"/>
  <c r="K144" i="31"/>
  <c r="J144" i="31"/>
  <c r="I144" i="31"/>
  <c r="H144" i="31"/>
  <c r="G144" i="31"/>
  <c r="F144" i="31"/>
  <c r="E144" i="31"/>
  <c r="D144" i="31"/>
  <c r="C144" i="31"/>
  <c r="B144" i="31"/>
  <c r="L112" i="31"/>
  <c r="K112" i="31"/>
  <c r="J112" i="31"/>
  <c r="I112" i="31"/>
  <c r="H112" i="31"/>
  <c r="G112" i="31"/>
  <c r="F112" i="31"/>
  <c r="E112" i="31"/>
  <c r="D112" i="31"/>
  <c r="C112" i="31"/>
  <c r="B112" i="31"/>
  <c r="L111" i="31"/>
  <c r="K111" i="31"/>
  <c r="J111" i="31"/>
  <c r="I111" i="31"/>
  <c r="H111" i="31"/>
  <c r="G111" i="31"/>
  <c r="F111" i="31"/>
  <c r="E111" i="31"/>
  <c r="D111" i="31"/>
  <c r="C111" i="31"/>
  <c r="B111" i="31"/>
  <c r="L110" i="31"/>
  <c r="K110" i="31"/>
  <c r="J110" i="31"/>
  <c r="I110" i="31"/>
  <c r="H110" i="31"/>
  <c r="G110" i="31"/>
  <c r="F110" i="31"/>
  <c r="E110" i="31"/>
  <c r="D110" i="31"/>
  <c r="C110" i="31"/>
  <c r="B110" i="31"/>
  <c r="L109" i="31"/>
  <c r="K109" i="31"/>
  <c r="J109" i="31"/>
  <c r="I109" i="31"/>
  <c r="H109" i="31"/>
  <c r="G109" i="31"/>
  <c r="F109" i="31"/>
  <c r="E109" i="31"/>
  <c r="D109" i="31"/>
  <c r="C109" i="31"/>
  <c r="B109" i="31"/>
  <c r="L108" i="31"/>
  <c r="K108" i="31"/>
  <c r="J108" i="31"/>
  <c r="I108" i="31"/>
  <c r="H108" i="31"/>
  <c r="G108" i="31"/>
  <c r="F108" i="31"/>
  <c r="E108" i="31"/>
  <c r="D108" i="31"/>
  <c r="C108" i="31"/>
  <c r="B108" i="31"/>
  <c r="L107" i="31"/>
  <c r="K107" i="31"/>
  <c r="J107" i="31"/>
  <c r="I107" i="31"/>
  <c r="H107" i="31"/>
  <c r="G107" i="31"/>
  <c r="F107" i="31"/>
  <c r="E107" i="31"/>
  <c r="D107" i="31"/>
  <c r="C107" i="31"/>
  <c r="B107" i="31"/>
  <c r="L106" i="31"/>
  <c r="K106" i="31"/>
  <c r="J106" i="31"/>
  <c r="I106" i="31"/>
  <c r="H106" i="31"/>
  <c r="G106" i="31"/>
  <c r="F106" i="31"/>
  <c r="E106" i="31"/>
  <c r="D106" i="31"/>
  <c r="C106" i="31"/>
  <c r="B106" i="31"/>
  <c r="L75" i="31"/>
  <c r="K75" i="31"/>
  <c r="J75" i="31"/>
  <c r="I75" i="31"/>
  <c r="H75" i="31"/>
  <c r="G75" i="31"/>
  <c r="F75" i="31"/>
  <c r="E75" i="31"/>
  <c r="D75" i="31"/>
  <c r="C75" i="31"/>
  <c r="B75" i="31"/>
  <c r="L74" i="31"/>
  <c r="K74" i="31"/>
  <c r="J74" i="31"/>
  <c r="I74" i="31"/>
  <c r="H74" i="31"/>
  <c r="G74" i="31"/>
  <c r="F74" i="31"/>
  <c r="E74" i="31"/>
  <c r="D74" i="31"/>
  <c r="C74" i="31"/>
  <c r="B74" i="31"/>
  <c r="L73" i="31"/>
  <c r="K73" i="31"/>
  <c r="J73" i="31"/>
  <c r="I73" i="31"/>
  <c r="H73" i="31"/>
  <c r="G73" i="31"/>
  <c r="F73" i="31"/>
  <c r="E73" i="31"/>
  <c r="D73" i="31"/>
  <c r="C73" i="31"/>
  <c r="B73" i="31"/>
  <c r="L72" i="31"/>
  <c r="K72" i="31"/>
  <c r="J72" i="31"/>
  <c r="I72" i="31"/>
  <c r="H72" i="31"/>
  <c r="G72" i="31"/>
  <c r="F72" i="31"/>
  <c r="E72" i="31"/>
  <c r="D72" i="31"/>
  <c r="C72" i="31"/>
  <c r="B72" i="31"/>
  <c r="L71" i="31"/>
  <c r="K71" i="31"/>
  <c r="J71" i="31"/>
  <c r="I71" i="31"/>
  <c r="H71" i="31"/>
  <c r="G71" i="31"/>
  <c r="F71" i="31"/>
  <c r="E71" i="31"/>
  <c r="D71" i="31"/>
  <c r="C71" i="31"/>
  <c r="B71" i="31"/>
  <c r="L70" i="31"/>
  <c r="K70" i="31"/>
  <c r="J70" i="31"/>
  <c r="I70" i="31"/>
  <c r="H70" i="31"/>
  <c r="G70" i="31"/>
  <c r="F70" i="31"/>
  <c r="E70" i="31"/>
  <c r="D70" i="31"/>
  <c r="C70" i="31"/>
  <c r="L69" i="31"/>
  <c r="K69" i="31"/>
  <c r="J69" i="31"/>
  <c r="I69" i="31"/>
  <c r="H69" i="31"/>
  <c r="G69" i="31"/>
  <c r="E69" i="31"/>
  <c r="D69" i="31"/>
  <c r="C69" i="31"/>
  <c r="B69" i="31"/>
  <c r="C32" i="31"/>
  <c r="D32" i="31"/>
  <c r="E32" i="31"/>
  <c r="F32" i="31"/>
  <c r="G32" i="31"/>
  <c r="H32" i="31"/>
  <c r="I32" i="31"/>
  <c r="J32" i="31"/>
  <c r="K32" i="31"/>
  <c r="L32" i="31"/>
  <c r="C33" i="31"/>
  <c r="D33" i="31"/>
  <c r="E33" i="31"/>
  <c r="F33" i="31"/>
  <c r="G33" i="31"/>
  <c r="H33" i="31"/>
  <c r="I33" i="31"/>
  <c r="J33" i="31"/>
  <c r="K33" i="31"/>
  <c r="L33" i="31"/>
  <c r="C34" i="31"/>
  <c r="D34" i="31"/>
  <c r="E34" i="31"/>
  <c r="F34" i="31"/>
  <c r="G34" i="31"/>
  <c r="H34" i="31"/>
  <c r="I34" i="31"/>
  <c r="J34" i="31"/>
  <c r="K34" i="31"/>
  <c r="L34" i="31"/>
  <c r="C35" i="31"/>
  <c r="D35" i="31"/>
  <c r="E35" i="31"/>
  <c r="F35" i="31"/>
  <c r="G35" i="31"/>
  <c r="H35" i="31"/>
  <c r="I35" i="31"/>
  <c r="J35" i="31"/>
  <c r="K35" i="31"/>
  <c r="L35" i="31"/>
  <c r="C36" i="31"/>
  <c r="D36" i="31"/>
  <c r="E36" i="31"/>
  <c r="F36" i="31"/>
  <c r="G36" i="31"/>
  <c r="H36" i="31"/>
  <c r="I36" i="31"/>
  <c r="J36" i="31"/>
  <c r="K36" i="31"/>
  <c r="L36" i="31"/>
  <c r="C37" i="31"/>
  <c r="D37" i="31"/>
  <c r="E37" i="31"/>
  <c r="F37" i="31"/>
  <c r="G37" i="31"/>
  <c r="H37" i="31"/>
  <c r="I37" i="31"/>
  <c r="J37" i="31"/>
  <c r="K37" i="31"/>
  <c r="L37" i="31"/>
  <c r="C38" i="31"/>
  <c r="D38" i="31"/>
  <c r="E38" i="31"/>
  <c r="F38" i="31"/>
  <c r="G38" i="31"/>
  <c r="H38" i="31"/>
  <c r="I38" i="31"/>
  <c r="J38" i="31"/>
  <c r="K38" i="31"/>
  <c r="L38" i="31"/>
  <c r="B38" i="31"/>
  <c r="B37" i="31"/>
  <c r="B36" i="31"/>
  <c r="B35" i="31"/>
  <c r="B34" i="31"/>
  <c r="B33" i="31"/>
  <c r="B32" i="31"/>
  <c r="AH180" i="21"/>
  <c r="AH179" i="21"/>
  <c r="AH178" i="21"/>
  <c r="AH177" i="21"/>
  <c r="AH176" i="21"/>
  <c r="AH175" i="21"/>
  <c r="AH174" i="21"/>
  <c r="AH173" i="21"/>
  <c r="AH172" i="21"/>
  <c r="AH171" i="21"/>
  <c r="AH170" i="21"/>
  <c r="AH169" i="21"/>
  <c r="AH168" i="21"/>
  <c r="AH167" i="21"/>
  <c r="AH166" i="21"/>
  <c r="AH165" i="21"/>
  <c r="AH164" i="21"/>
  <c r="AH163" i="21"/>
  <c r="AH162" i="21"/>
  <c r="AH161" i="21"/>
  <c r="AH160" i="21"/>
  <c r="AH159" i="21"/>
  <c r="AH158" i="21"/>
  <c r="AH157" i="21"/>
  <c r="AH152" i="21"/>
  <c r="AH151" i="21"/>
  <c r="AH150" i="21"/>
  <c r="AH149" i="21"/>
  <c r="AH148" i="21"/>
  <c r="AH147" i="21"/>
  <c r="AH146" i="21"/>
  <c r="AH145" i="21"/>
  <c r="AH144" i="21"/>
  <c r="AH143" i="21"/>
  <c r="AH142" i="21"/>
  <c r="AH141" i="21"/>
  <c r="AH140" i="21"/>
  <c r="AH139" i="21"/>
  <c r="AH138" i="21"/>
  <c r="AH137" i="21"/>
  <c r="AH136" i="21"/>
  <c r="AH135" i="21"/>
  <c r="AH134" i="21"/>
  <c r="AH133" i="21"/>
  <c r="AH132" i="21"/>
  <c r="AH131" i="21"/>
  <c r="AH130" i="21"/>
  <c r="AH129" i="21"/>
  <c r="AH124" i="21"/>
  <c r="AH123" i="21"/>
  <c r="AH122" i="21"/>
  <c r="AH121" i="21"/>
  <c r="AH120" i="21"/>
  <c r="AH119" i="21"/>
  <c r="AH118" i="21"/>
  <c r="AH117" i="21"/>
  <c r="AH116" i="21"/>
  <c r="AH115" i="21"/>
  <c r="AH114" i="21"/>
  <c r="AH113" i="21"/>
  <c r="AH112" i="21"/>
  <c r="AH111" i="21"/>
  <c r="AH110" i="21"/>
  <c r="AH109" i="21"/>
  <c r="AH108" i="21"/>
  <c r="AH107" i="21"/>
  <c r="AH106" i="21"/>
  <c r="AH105" i="21"/>
  <c r="AH104" i="21"/>
  <c r="AH103" i="21"/>
  <c r="AH102" i="21"/>
  <c r="AH101" i="21"/>
  <c r="AH96" i="21"/>
  <c r="AH95" i="21"/>
  <c r="AH94" i="21"/>
  <c r="AH93" i="21"/>
  <c r="AH92" i="21"/>
  <c r="AH91" i="21"/>
  <c r="AH90" i="21"/>
  <c r="AH89" i="21"/>
  <c r="AH88" i="21"/>
  <c r="AH87" i="21"/>
  <c r="AH86" i="21"/>
  <c r="AH85" i="21"/>
  <c r="AH84" i="21"/>
  <c r="AH83" i="21"/>
  <c r="AH82" i="21"/>
  <c r="AH81" i="21"/>
  <c r="AH80" i="21"/>
  <c r="AH79" i="21"/>
  <c r="AH78" i="21"/>
  <c r="AH77" i="21"/>
  <c r="AH76" i="21"/>
  <c r="AH75" i="21"/>
  <c r="AH74" i="21"/>
  <c r="AH73" i="21"/>
  <c r="AH68" i="21"/>
  <c r="AH67" i="21"/>
  <c r="AH66" i="21"/>
  <c r="AH65" i="21"/>
  <c r="AH6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E180" i="21"/>
  <c r="AE179" i="21"/>
  <c r="AE178" i="21"/>
  <c r="AE177" i="21"/>
  <c r="AE176" i="21"/>
  <c r="AE175" i="21"/>
  <c r="AE174" i="21"/>
  <c r="AE173" i="21"/>
  <c r="AE172" i="21"/>
  <c r="AE171" i="21"/>
  <c r="AE170" i="21"/>
  <c r="AE169" i="21"/>
  <c r="AE168" i="21"/>
  <c r="AE167" i="21"/>
  <c r="AE166" i="21"/>
  <c r="AE165" i="21"/>
  <c r="AE164" i="21"/>
  <c r="AE163" i="21"/>
  <c r="AE162" i="21"/>
  <c r="AE161" i="21"/>
  <c r="AE160" i="21"/>
  <c r="AE159" i="21"/>
  <c r="AE158" i="21"/>
  <c r="AE157" i="21"/>
  <c r="AE152" i="21"/>
  <c r="AE151" i="21"/>
  <c r="AE150" i="21"/>
  <c r="AE149" i="21"/>
  <c r="AE148" i="21"/>
  <c r="AE147" i="21"/>
  <c r="AE146" i="21"/>
  <c r="AE145" i="21"/>
  <c r="AE144" i="21"/>
  <c r="AE143" i="21"/>
  <c r="AE142" i="21"/>
  <c r="AE141" i="21"/>
  <c r="AE140" i="21"/>
  <c r="AE139" i="21"/>
  <c r="AE138" i="21"/>
  <c r="AE137" i="21"/>
  <c r="AE136" i="21"/>
  <c r="AE135" i="21"/>
  <c r="AE134" i="21"/>
  <c r="AE133" i="21"/>
  <c r="AE132" i="21"/>
  <c r="AE131" i="21"/>
  <c r="AE130" i="21"/>
  <c r="AE129" i="21"/>
  <c r="AE124" i="21"/>
  <c r="AE123" i="21"/>
  <c r="AE122" i="21"/>
  <c r="AE121" i="21"/>
  <c r="AE120" i="21"/>
  <c r="AE119" i="21"/>
  <c r="AE118" i="21"/>
  <c r="AE117" i="21"/>
  <c r="AE116" i="21"/>
  <c r="AE115" i="21"/>
  <c r="AE114" i="21"/>
  <c r="AE113" i="21"/>
  <c r="AE112" i="21"/>
  <c r="AE111" i="21"/>
  <c r="AE110" i="21"/>
  <c r="AE109" i="21"/>
  <c r="AE108" i="21"/>
  <c r="AE107" i="21"/>
  <c r="AE106" i="21"/>
  <c r="AE105" i="21"/>
  <c r="AE104" i="21"/>
  <c r="AE103" i="21"/>
  <c r="AE102" i="21"/>
  <c r="AE101" i="21"/>
  <c r="AE96" i="21"/>
  <c r="AE95" i="21"/>
  <c r="AE94" i="21"/>
  <c r="AE93" i="21"/>
  <c r="AE92" i="21"/>
  <c r="AE91" i="21"/>
  <c r="AE90" i="21"/>
  <c r="AE89" i="21"/>
  <c r="AE88" i="21"/>
  <c r="AE87" i="21"/>
  <c r="AE86" i="21"/>
  <c r="AE85" i="21"/>
  <c r="AE84" i="21"/>
  <c r="AE83" i="21"/>
  <c r="AE82" i="21"/>
  <c r="AE81" i="21"/>
  <c r="AE80" i="21"/>
  <c r="AE79" i="21"/>
  <c r="AE78" i="21"/>
  <c r="AE77" i="21"/>
  <c r="AE76" i="21"/>
  <c r="AE75" i="21"/>
  <c r="AE74" i="21"/>
  <c r="AE73" i="21"/>
  <c r="AE68" i="21"/>
  <c r="AE67" i="21"/>
  <c r="AE66" i="21"/>
  <c r="AE65" i="21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49" i="21"/>
  <c r="AE48" i="21"/>
  <c r="AE47" i="21"/>
  <c r="AE46" i="21"/>
  <c r="AE45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B180" i="21"/>
  <c r="AB179" i="21"/>
  <c r="AB178" i="21"/>
  <c r="AB177" i="21"/>
  <c r="AB176" i="21"/>
  <c r="AB175" i="21"/>
  <c r="AB174" i="21"/>
  <c r="AB173" i="21"/>
  <c r="AB172" i="21"/>
  <c r="AB171" i="21"/>
  <c r="AB170" i="21"/>
  <c r="AB169" i="21"/>
  <c r="AB168" i="21"/>
  <c r="AB167" i="21"/>
  <c r="AB166" i="21"/>
  <c r="AB165" i="21"/>
  <c r="AB164" i="21"/>
  <c r="AB163" i="21"/>
  <c r="AB162" i="21"/>
  <c r="AB161" i="21"/>
  <c r="AB160" i="21"/>
  <c r="AB159" i="21"/>
  <c r="AB158" i="21"/>
  <c r="AB157" i="21"/>
  <c r="AB152" i="21"/>
  <c r="AB151" i="21"/>
  <c r="AB150" i="21"/>
  <c r="AB149" i="21"/>
  <c r="AB148" i="2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96" i="21"/>
  <c r="AB95" i="21"/>
  <c r="AB94" i="21"/>
  <c r="AB93" i="21"/>
  <c r="AB92" i="21"/>
  <c r="AB91" i="21"/>
  <c r="AB90" i="21"/>
  <c r="AB89" i="21"/>
  <c r="AB88" i="21"/>
  <c r="AB87" i="21"/>
  <c r="AB86" i="21"/>
  <c r="AB85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Y180" i="21"/>
  <c r="Y179" i="21"/>
  <c r="Y178" i="21"/>
  <c r="Y177" i="21"/>
  <c r="Y176" i="21"/>
  <c r="Y175" i="21"/>
  <c r="Y174" i="21"/>
  <c r="Y173" i="21"/>
  <c r="Y172" i="21"/>
  <c r="Y171" i="21"/>
  <c r="Y170" i="21"/>
  <c r="Y169" i="21"/>
  <c r="Y168" i="21"/>
  <c r="Y167" i="21"/>
  <c r="Y166" i="21"/>
  <c r="Y165" i="21"/>
  <c r="Y164" i="21"/>
  <c r="Y163" i="21"/>
  <c r="Y162" i="21"/>
  <c r="Y161" i="21"/>
  <c r="Y160" i="21"/>
  <c r="Y159" i="21"/>
  <c r="Y158" i="21"/>
  <c r="Y157" i="21"/>
  <c r="Y152" i="21"/>
  <c r="Y151" i="21"/>
  <c r="Y150" i="21"/>
  <c r="Y149" i="21"/>
  <c r="Y148" i="21"/>
  <c r="Y147" i="21"/>
  <c r="Y146" i="21"/>
  <c r="Y145" i="21"/>
  <c r="Y144" i="21"/>
  <c r="Y143" i="21"/>
  <c r="Y142" i="21"/>
  <c r="Y141" i="21"/>
  <c r="Y140" i="21"/>
  <c r="Y139" i="21"/>
  <c r="Y138" i="21"/>
  <c r="Y137" i="21"/>
  <c r="Y136" i="21"/>
  <c r="Y135" i="21"/>
  <c r="Y134" i="21"/>
  <c r="Y133" i="21"/>
  <c r="Y132" i="21"/>
  <c r="Y131" i="21"/>
  <c r="Y130" i="21"/>
  <c r="Y129" i="21"/>
  <c r="Y124" i="21"/>
  <c r="Y123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7" i="21"/>
  <c r="D32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6" i="21"/>
  <c r="C8" i="26"/>
  <c r="B8" i="26"/>
  <c r="C33" i="26"/>
  <c r="C32" i="26"/>
  <c r="C31" i="26"/>
  <c r="C30" i="26"/>
  <c r="B33" i="26"/>
  <c r="B32" i="26"/>
  <c r="B31" i="26"/>
  <c r="B30" i="26"/>
  <c r="C29" i="26"/>
  <c r="B29" i="26"/>
  <c r="D30" i="26"/>
  <c r="D31" i="26"/>
  <c r="D32" i="26"/>
  <c r="D33" i="26"/>
  <c r="D29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F76" i="31"/>
  <c r="I227" i="31"/>
  <c r="L227" i="31"/>
  <c r="B113" i="31"/>
  <c r="J113" i="31"/>
  <c r="E151" i="31"/>
  <c r="H189" i="31"/>
  <c r="C227" i="31"/>
  <c r="D227" i="31"/>
  <c r="J76" i="31"/>
  <c r="F113" i="31"/>
  <c r="I151" i="31"/>
  <c r="D189" i="31"/>
  <c r="L189" i="31"/>
  <c r="D76" i="31"/>
  <c r="L76" i="31"/>
  <c r="H113" i="31"/>
  <c r="C151" i="31"/>
  <c r="K151" i="31"/>
  <c r="F189" i="31"/>
  <c r="B39" i="31"/>
  <c r="E76" i="31"/>
  <c r="I113" i="31"/>
  <c r="D151" i="31"/>
  <c r="L151" i="31"/>
  <c r="G189" i="31"/>
  <c r="B227" i="31"/>
  <c r="J227" i="31"/>
  <c r="K227" i="31"/>
  <c r="G76" i="31"/>
  <c r="C113" i="31"/>
  <c r="K113" i="31"/>
  <c r="F151" i="31"/>
  <c r="I189" i="31"/>
  <c r="H76" i="31"/>
  <c r="D113" i="31"/>
  <c r="L113" i="31"/>
  <c r="G151" i="31"/>
  <c r="B189" i="31"/>
  <c r="J189" i="31"/>
  <c r="E227" i="31"/>
  <c r="I76" i="31"/>
  <c r="E113" i="31"/>
  <c r="H151" i="31"/>
  <c r="C189" i="31"/>
  <c r="K189" i="31"/>
  <c r="F227" i="31"/>
  <c r="G227" i="31"/>
  <c r="C76" i="31"/>
  <c r="K76" i="31"/>
  <c r="G113" i="31"/>
  <c r="B151" i="31"/>
  <c r="J151" i="31"/>
  <c r="E189" i="31"/>
  <c r="H227" i="31"/>
  <c r="AK216" i="21"/>
  <c r="AK215" i="21"/>
  <c r="AK214" i="21"/>
  <c r="AK213" i="21"/>
  <c r="AK212" i="21"/>
  <c r="AK211" i="21"/>
  <c r="AK210" i="21"/>
  <c r="AK209" i="21"/>
  <c r="AK208" i="21"/>
  <c r="AK207" i="21"/>
  <c r="AK206" i="21"/>
  <c r="AK205" i="21"/>
  <c r="AK204" i="21"/>
  <c r="AK203" i="21"/>
  <c r="AK202" i="21"/>
  <c r="AK201" i="21"/>
  <c r="AK200" i="21"/>
  <c r="AK199" i="21"/>
  <c r="AK198" i="21"/>
  <c r="AK197" i="21"/>
  <c r="AK196" i="21"/>
  <c r="AK195" i="21"/>
  <c r="AK194" i="21"/>
  <c r="AK217" i="21"/>
  <c r="B76" i="31"/>
  <c r="L39" i="31"/>
  <c r="K39" i="31"/>
  <c r="J39" i="31"/>
  <c r="I39" i="31"/>
  <c r="H39" i="31"/>
  <c r="G39" i="31"/>
  <c r="F39" i="31"/>
  <c r="E39" i="31"/>
  <c r="D39" i="31"/>
  <c r="C39" i="31"/>
  <c r="D8" i="26"/>
  <c r="H59" i="35" l="1"/>
  <c r="H57" i="35"/>
  <c r="H56" i="35"/>
  <c r="H55" i="35"/>
  <c r="H54" i="35"/>
  <c r="H60" i="35"/>
  <c r="F59" i="35"/>
  <c r="E59" i="35"/>
  <c r="D59" i="35"/>
  <c r="C59" i="35"/>
  <c r="F57" i="35"/>
  <c r="E57" i="35"/>
  <c r="D57" i="35"/>
  <c r="C57" i="35"/>
  <c r="F56" i="35"/>
  <c r="E56" i="35"/>
  <c r="D56" i="35"/>
  <c r="C56" i="35"/>
  <c r="F55" i="35"/>
  <c r="E55" i="35"/>
  <c r="D55" i="35"/>
  <c r="C55" i="35"/>
  <c r="F54" i="35"/>
  <c r="E54" i="35"/>
  <c r="D54" i="35"/>
  <c r="C54" i="35"/>
  <c r="F60" i="35"/>
  <c r="E60" i="35"/>
  <c r="D60" i="35"/>
  <c r="C60" i="35"/>
  <c r="J59" i="35"/>
  <c r="J57" i="35"/>
  <c r="J56" i="35"/>
  <c r="J55" i="35"/>
  <c r="J54" i="35"/>
  <c r="J60" i="35"/>
  <c r="N59" i="35"/>
  <c r="M59" i="35"/>
  <c r="L59" i="35"/>
  <c r="K59" i="35"/>
  <c r="N57" i="35"/>
  <c r="M57" i="35"/>
  <c r="L57" i="35"/>
  <c r="K57" i="35"/>
  <c r="N56" i="35"/>
  <c r="M56" i="35"/>
  <c r="L56" i="35"/>
  <c r="K56" i="35"/>
  <c r="N55" i="35"/>
  <c r="M55" i="35"/>
  <c r="L55" i="35"/>
  <c r="K55" i="35"/>
  <c r="N54" i="35"/>
  <c r="M54" i="35"/>
  <c r="L54" i="35"/>
  <c r="K54" i="35"/>
  <c r="N60" i="35"/>
  <c r="M60" i="35"/>
  <c r="L60" i="35"/>
  <c r="K60" i="35"/>
  <c r="G59" i="35"/>
  <c r="G57" i="35"/>
  <c r="G56" i="35"/>
  <c r="G55" i="35"/>
  <c r="G54" i="35"/>
  <c r="G60" i="35"/>
  <c r="O59" i="35"/>
  <c r="O57" i="35"/>
  <c r="O56" i="35"/>
  <c r="O55" i="35"/>
  <c r="O54" i="35"/>
  <c r="O60" i="35"/>
  <c r="W59" i="35"/>
  <c r="V59" i="35"/>
  <c r="U59" i="35"/>
  <c r="T59" i="35"/>
  <c r="S59" i="35"/>
  <c r="R59" i="35"/>
  <c r="W57" i="35"/>
  <c r="V57" i="35"/>
  <c r="U57" i="35"/>
  <c r="T57" i="35"/>
  <c r="S57" i="35"/>
  <c r="R57" i="35"/>
  <c r="W56" i="35"/>
  <c r="V56" i="35"/>
  <c r="U56" i="35"/>
  <c r="T56" i="35"/>
  <c r="S56" i="35"/>
  <c r="R56" i="35"/>
  <c r="W55" i="35"/>
  <c r="V55" i="35"/>
  <c r="U55" i="35"/>
  <c r="T55" i="35"/>
  <c r="S55" i="35"/>
  <c r="R55" i="35"/>
  <c r="W54" i="35"/>
  <c r="V54" i="35"/>
  <c r="U54" i="35"/>
  <c r="T54" i="35"/>
  <c r="S54" i="35"/>
  <c r="R54" i="35"/>
  <c r="W60" i="35"/>
  <c r="V60" i="35"/>
  <c r="U60" i="35"/>
  <c r="T60" i="35"/>
  <c r="S60" i="35"/>
  <c r="R60" i="35"/>
  <c r="AE59" i="35"/>
  <c r="AD59" i="35"/>
  <c r="AC59" i="35"/>
  <c r="AB59" i="35"/>
  <c r="AA59" i="35"/>
  <c r="Z59" i="35"/>
  <c r="AE57" i="35"/>
  <c r="AD57" i="35"/>
  <c r="AC57" i="35"/>
  <c r="AB57" i="35"/>
  <c r="AA57" i="35"/>
  <c r="Z57" i="35"/>
  <c r="AE56" i="35"/>
  <c r="AD56" i="35"/>
  <c r="AC56" i="35"/>
  <c r="AB56" i="35"/>
  <c r="AA56" i="35"/>
  <c r="Z56" i="35"/>
  <c r="AE55" i="35"/>
  <c r="AD55" i="35"/>
  <c r="AC55" i="35"/>
  <c r="AB55" i="35"/>
  <c r="AA55" i="35"/>
  <c r="Z55" i="35"/>
  <c r="AE54" i="35"/>
  <c r="AD54" i="35"/>
  <c r="AC54" i="35"/>
  <c r="AB54" i="35"/>
  <c r="AA54" i="35"/>
  <c r="Z54" i="35"/>
  <c r="AE60" i="35"/>
  <c r="AD60" i="35"/>
  <c r="AC60" i="35"/>
  <c r="AB60" i="35"/>
  <c r="AA60" i="35"/>
  <c r="Z60" i="35"/>
  <c r="B54" i="35"/>
  <c r="B60" i="35" s="1"/>
  <c r="N78" i="39"/>
  <c r="C84" i="39"/>
  <c r="N81" i="39"/>
  <c r="G60" i="39"/>
  <c r="G94" i="39"/>
  <c r="G59" i="39"/>
  <c r="G69" i="39"/>
  <c r="G70" i="39"/>
  <c r="G68" i="39"/>
  <c r="G71" i="39"/>
  <c r="G84" i="39"/>
  <c r="N87" i="39"/>
  <c r="F94" i="39"/>
  <c r="N91" i="39"/>
  <c r="N41" i="39"/>
  <c r="N49" i="39"/>
  <c r="N93" i="39"/>
  <c r="F60" i="39"/>
  <c r="N60" i="39" s="1"/>
  <c r="N92" i="39"/>
  <c r="N63" i="39"/>
  <c r="F59" i="39"/>
  <c r="F73" i="39"/>
  <c r="N44" i="39"/>
  <c r="F69" i="39"/>
  <c r="N52" i="39"/>
  <c r="F62" i="39"/>
  <c r="N79" i="39"/>
  <c r="F68" i="39"/>
  <c r="N68" i="39" s="1"/>
  <c r="F71" i="39"/>
  <c r="N71" i="39" s="1"/>
  <c r="N83" i="39"/>
  <c r="E69" i="39"/>
  <c r="K25" i="39"/>
  <c r="E73" i="39"/>
  <c r="E84" i="39"/>
  <c r="E71" i="39"/>
  <c r="E59" i="39"/>
  <c r="E70" i="39"/>
  <c r="E62" i="39"/>
  <c r="E60" i="39"/>
  <c r="N47" i="39"/>
  <c r="D94" i="39"/>
  <c r="N94" i="39" s="1"/>
  <c r="N42" i="39"/>
  <c r="D62" i="39"/>
  <c r="D69" i="39"/>
  <c r="C69" i="39"/>
  <c r="C73" i="39"/>
  <c r="C94" i="39"/>
  <c r="C62" i="39"/>
  <c r="J25" i="39"/>
  <c r="J26" i="39" s="1"/>
  <c r="C70" i="39"/>
  <c r="C68" i="39"/>
  <c r="H41" i="39"/>
  <c r="B59" i="39"/>
  <c r="B61" i="39"/>
  <c r="B94" i="39"/>
  <c r="B73" i="39"/>
  <c r="B70" i="39"/>
  <c r="B60" i="39"/>
  <c r="B84" i="39"/>
  <c r="B56" i="39"/>
  <c r="B69" i="39"/>
  <c r="N67" i="39"/>
  <c r="F56" i="39"/>
  <c r="B68" i="39"/>
  <c r="N45" i="39"/>
  <c r="N53" i="39"/>
  <c r="C56" i="39"/>
  <c r="C60" i="39"/>
  <c r="D61" i="39"/>
  <c r="B71" i="39"/>
  <c r="C72" i="39"/>
  <c r="D73" i="39"/>
  <c r="D56" i="39"/>
  <c r="C59" i="39"/>
  <c r="G67" i="39"/>
  <c r="G74" i="39" s="1"/>
  <c r="C71" i="39"/>
  <c r="D72" i="39"/>
  <c r="N72" i="39" s="1"/>
  <c r="D84" i="39"/>
  <c r="N84" i="39" s="1"/>
  <c r="N43" i="39"/>
  <c r="N51" i="39"/>
  <c r="E56" i="39"/>
  <c r="D59" i="39"/>
  <c r="F61" i="39"/>
  <c r="G62" i="39"/>
  <c r="G56" i="39"/>
  <c r="B63" i="39"/>
  <c r="B67" i="39"/>
  <c r="N48" i="39"/>
  <c r="B62" i="39"/>
  <c r="F70" i="39"/>
  <c r="N70" i="39" s="1"/>
  <c r="N88" i="39"/>
  <c r="N55" i="39"/>
  <c r="G64" i="39" l="1"/>
  <c r="F64" i="39"/>
  <c r="F74" i="39"/>
  <c r="N62" i="39"/>
  <c r="N73" i="39"/>
  <c r="N69" i="39"/>
  <c r="N61" i="39"/>
  <c r="E64" i="39"/>
  <c r="E74" i="39"/>
  <c r="C74" i="39"/>
  <c r="B74" i="39"/>
  <c r="B64" i="39"/>
  <c r="N59" i="39"/>
  <c r="D64" i="39"/>
  <c r="D74" i="39"/>
  <c r="N74" i="39" s="1"/>
  <c r="N56" i="39"/>
  <c r="C64" i="39"/>
  <c r="N64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tc={903E9DBD-6EEE-40C3-BD48-29785379095E}</author>
  </authors>
  <commentList>
    <comment ref="A87" authorId="0" shapeId="0" xr:uid="{903E9DBD-6EEE-40C3-BD48-297853790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@Sandhya Muthuramalingam </t>
      </text>
    </comment>
  </commentList>
</comments>
</file>

<file path=xl/sharedStrings.xml><?xml version="1.0" encoding="utf-8"?>
<sst xmlns="http://schemas.openxmlformats.org/spreadsheetml/2006/main" count="1571" uniqueCount="313">
  <si>
    <t>Long Beach Population Census (2023: ACS 5-Year Estimates Subject Tables)</t>
  </si>
  <si>
    <t>Long Beach Total Population</t>
  </si>
  <si>
    <t>    Total population</t>
  </si>
  <si>
    <t>        Male</t>
  </si>
  <si>
    <t>        Female</t>
  </si>
  <si>
    <t>Age</t>
  </si>
  <si>
    <t>Age Cat1</t>
  </si>
  <si>
    <t>LB 2023</t>
  </si>
  <si>
    <t>LB 2022</t>
  </si>
  <si>
    <t>LB 2021</t>
  </si>
  <si>
    <t>LB 2020</t>
  </si>
  <si>
    <t>LB 2019</t>
  </si>
  <si>
    <t>TOTAL 5-year</t>
  </si>
  <si>
    <t>        Under 5 years</t>
  </si>
  <si>
    <t>0 to 4</t>
  </si>
  <si>
    <t>        5 to 9 years</t>
  </si>
  <si>
    <t>5 to 14</t>
  </si>
  <si>
    <t>        10 to 14 years</t>
  </si>
  <si>
    <t>15 to 24</t>
  </si>
  <si>
    <t>        15 to 19 years</t>
  </si>
  <si>
    <t>25 to 44</t>
  </si>
  <si>
    <t>        20 to 24 years</t>
  </si>
  <si>
    <t>45 to 64</t>
  </si>
  <si>
    <t>        25 to 29 years</t>
  </si>
  <si>
    <t>65+</t>
  </si>
  <si>
    <t>        30 to 34 years</t>
  </si>
  <si>
    <t>        35 to 39 years</t>
  </si>
  <si>
    <t>        40 to 44 years</t>
  </si>
  <si>
    <t>&lt;20</t>
  </si>
  <si>
    <t>        45 to 49 years</t>
  </si>
  <si>
    <t>20-29</t>
  </si>
  <si>
    <t>        50 to 54 years</t>
  </si>
  <si>
    <t>30-39</t>
  </si>
  <si>
    <t>        55 to 59 years</t>
  </si>
  <si>
    <t>40-49</t>
  </si>
  <si>
    <t>        60 to 64 years</t>
  </si>
  <si>
    <t>50-59</t>
  </si>
  <si>
    <t>        65 to 69 years</t>
  </si>
  <si>
    <t>60-69</t>
  </si>
  <si>
    <t>        70 to 74 years</t>
  </si>
  <si>
    <t>70-79</t>
  </si>
  <si>
    <t>        75 to 79 years</t>
  </si>
  <si>
    <t>80+</t>
  </si>
  <si>
    <t>        80 to 84 years</t>
  </si>
  <si>
    <t>        85 years and over</t>
  </si>
  <si>
    <t>Age Cat2</t>
  </si>
  <si>
    <t>&lt;5</t>
  </si>
  <si>
    <t>Age Groups</t>
  </si>
  <si>
    <t>5-9</t>
  </si>
  <si>
    <t>0-4</t>
  </si>
  <si>
    <t>10-14</t>
  </si>
  <si>
    <t>5-14</t>
  </si>
  <si>
    <t>15-19</t>
  </si>
  <si>
    <t>15-24</t>
  </si>
  <si>
    <t>25-44</t>
  </si>
  <si>
    <t>45-64</t>
  </si>
  <si>
    <t>65-74</t>
  </si>
  <si>
    <t>75+</t>
  </si>
  <si>
    <t>70+</t>
  </si>
  <si>
    <t>0 - 19</t>
  </si>
  <si>
    <t>Age Cat3</t>
  </si>
  <si>
    <t>20 - 44</t>
  </si>
  <si>
    <t>45 - 64</t>
  </si>
  <si>
    <t xml:space="preserve"> 5-9</t>
  </si>
  <si>
    <t>65 - 84</t>
  </si>
  <si>
    <t>85+</t>
  </si>
  <si>
    <t>20-24</t>
  </si>
  <si>
    <t>25-29</t>
  </si>
  <si>
    <t>&lt;18</t>
  </si>
  <si>
    <t>30-34</t>
  </si>
  <si>
    <t>18-24</t>
  </si>
  <si>
    <t>35-39</t>
  </si>
  <si>
    <t>25-39</t>
  </si>
  <si>
    <t>40-44</t>
  </si>
  <si>
    <t>40-54</t>
  </si>
  <si>
    <t>45-49</t>
  </si>
  <si>
    <t>55-64</t>
  </si>
  <si>
    <t>50-54</t>
  </si>
  <si>
    <t>55-59</t>
  </si>
  <si>
    <t>60-64</t>
  </si>
  <si>
    <t>2023 5-Year Estimates</t>
  </si>
  <si>
    <t>Male</t>
  </si>
  <si>
    <t>Female</t>
  </si>
  <si>
    <t>Total</t>
  </si>
  <si>
    <t>65-69</t>
  </si>
  <si>
    <t>70-74</t>
  </si>
  <si>
    <t>75-79</t>
  </si>
  <si>
    <t>80-84</t>
  </si>
  <si>
    <t>MALE</t>
  </si>
  <si>
    <t>FEMALE</t>
  </si>
  <si>
    <t>TOTAL CHECK</t>
  </si>
  <si>
    <t>5-17</t>
  </si>
  <si>
    <t>5+</t>
  </si>
  <si>
    <t>18+</t>
  </si>
  <si>
    <t>Race/Ethnicity</t>
  </si>
  <si>
    <t>Hispanic or Latino</t>
  </si>
  <si>
    <t>Not Hispanic</t>
  </si>
  <si>
    <t>            White alone</t>
  </si>
  <si>
    <t>            Black or African American alone</t>
  </si>
  <si>
    <t>            American Indian and Alaska Native alone</t>
  </si>
  <si>
    <t>            Asian alone</t>
  </si>
  <si>
    <t xml:space="preserve"> </t>
  </si>
  <si>
    <t>            Native Hawaiian and Other Pacific Islander alone</t>
  </si>
  <si>
    <t>            Some Other Race alone</t>
  </si>
  <si>
    <t xml:space="preserve"> Multi Racial</t>
  </si>
  <si>
    <t>5-year estimates</t>
  </si>
  <si>
    <t>Year</t>
  </si>
  <si>
    <t>Zip Code</t>
  </si>
  <si>
    <t>ZIP 1</t>
  </si>
  <si>
    <t>ZIP 2</t>
  </si>
  <si>
    <t>ZIP 3</t>
  </si>
  <si>
    <t>ZIP 4</t>
  </si>
  <si>
    <t>ZIP 5</t>
  </si>
  <si>
    <t>ZIP 6</t>
  </si>
  <si>
    <t>ZIP 7</t>
  </si>
  <si>
    <t>ZIP 8</t>
  </si>
  <si>
    <t>ZIP 9</t>
  </si>
  <si>
    <t>ZIP 10</t>
  </si>
  <si>
    <t>ZIP 11</t>
  </si>
  <si>
    <t>Note: Please only use counts on this sheet for age categories or age by sex. To get the overall counts for each race/ethnicity category, please use race/ethncity counts on the Long Beach (2021) sheet. These race/ethnicity estimates are only for 2021 1-year estimates for hispanic/latino, white, asian, and black. NHPI and AIAN are 2021 5-year estimates</t>
  </si>
  <si>
    <t xml:space="preserve">Race/Ethnicity </t>
  </si>
  <si>
    <t>White (Not Hispanic)</t>
  </si>
  <si>
    <t>Asian (Alone)</t>
  </si>
  <si>
    <t>Black (Alone)</t>
  </si>
  <si>
    <t>NHPI (Alone)</t>
  </si>
  <si>
    <t>AIAN (Alone)</t>
  </si>
  <si>
    <t>Census Table #</t>
  </si>
  <si>
    <t>Asian and Native Hawaiian/Pacific Islander</t>
  </si>
  <si>
    <t>    Male:</t>
  </si>
  <si>
    <t>Hispanic</t>
  </si>
  <si>
    <t>B01001I</t>
  </si>
  <si>
    <t>White</t>
  </si>
  <si>
    <t>B01001H</t>
  </si>
  <si>
    <t>Asian</t>
  </si>
  <si>
    <t>B01001D</t>
  </si>
  <si>
    <t>Black</t>
  </si>
  <si>
    <t>B01001B</t>
  </si>
  <si>
    <t>        15 to 17 years</t>
  </si>
  <si>
    <t>NHPI</t>
  </si>
  <si>
    <t>B01001E</t>
  </si>
  <si>
    <t>        18 and 19 years</t>
  </si>
  <si>
    <t>AIAN</t>
  </si>
  <si>
    <t>B01001C</t>
  </si>
  <si>
    <t>Gender by Race/Ethnicity</t>
  </si>
  <si>
    <t>        35 to 44 years</t>
  </si>
  <si>
    <t>        45 to 54 years</t>
  </si>
  <si>
    <t>        55 to 64 years</t>
  </si>
  <si>
    <t>        65 to 74 years</t>
  </si>
  <si>
    <t>        75 to 84 years</t>
  </si>
  <si>
    <t>    Female:</t>
  </si>
  <si>
    <t>All</t>
  </si>
  <si>
    <t>TOTAL</t>
  </si>
  <si>
    <t>TOTAL SUM</t>
  </si>
  <si>
    <t>TOTAL AGE GROUPS</t>
  </si>
  <si>
    <t>0-19 years</t>
  </si>
  <si>
    <t>20-44 years</t>
  </si>
  <si>
    <t>45-64 years</t>
  </si>
  <si>
    <t>65-84 years</t>
  </si>
  <si>
    <t>85+ years</t>
  </si>
  <si>
    <t>HISPANIC/LATINO</t>
  </si>
  <si>
    <t>WHITE</t>
  </si>
  <si>
    <t>ASIAN</t>
  </si>
  <si>
    <t>BLACK</t>
  </si>
  <si>
    <t>MULTIRACIAL</t>
  </si>
  <si>
    <t>Total:</t>
  </si>
  <si>
    <t>AGE ADJUSTED AGE GROUPS</t>
  </si>
  <si>
    <t>AGE ADJUSTED AGE GROUPS FOR MALES</t>
  </si>
  <si>
    <t>        20 years</t>
  </si>
  <si>
    <t>        21 years</t>
  </si>
  <si>
    <t>        22 to 24 years</t>
  </si>
  <si>
    <t>AGE ADJUSTED AGE GROUPS FOR FEMALE</t>
  </si>
  <si>
    <t>        60 and 61 years</t>
  </si>
  <si>
    <t>        62 to 64 years</t>
  </si>
  <si>
    <t>        65 and 66 years</t>
  </si>
  <si>
    <t>        67 to 69 years</t>
  </si>
  <si>
    <t xml:space="preserve">TOTAL </t>
  </si>
  <si>
    <t>AGE ADJUSTED AGE GROUPS FOR TOTAL</t>
  </si>
  <si>
    <t>US Population Census (2020 5-year Estimates)</t>
  </si>
  <si>
    <t>US Total Population</t>
  </si>
  <si>
    <t>Age and Sex Table</t>
  </si>
  <si>
    <t>Census Tract</t>
  </si>
  <si>
    <t>Population</t>
  </si>
  <si>
    <t>Zip/Gender By Year</t>
  </si>
  <si>
    <t xml:space="preserve">Source: </t>
  </si>
  <si>
    <t>Year 2016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</si>
  <si>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</si>
  <si>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</si>
  <si>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</si>
  <si>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</si>
  <si>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</si>
  <si>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</si>
  <si>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</si>
  <si>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</si>
  <si>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</si>
  <si>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</si>
  <si>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</si>
  <si>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</si>
  <si>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</si>
  <si>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</si>
  <si>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</si>
  <si>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</si>
  <si>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</si>
  <si>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</si>
  <si>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</si>
  <si>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</si>
  <si>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</si>
  <si>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</si>
  <si>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</si>
  <si>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2016_90802</t>
  </si>
  <si>
    <t>2016_90803</t>
  </si>
  <si>
    <t>2016_90804</t>
  </si>
  <si>
    <t>2016_90805</t>
  </si>
  <si>
    <t>2016_90806</t>
  </si>
  <si>
    <t>2016_90807</t>
  </si>
  <si>
    <t>2016_90808</t>
  </si>
  <si>
    <t>2016_90810</t>
  </si>
  <si>
    <t>2016_90813</t>
  </si>
  <si>
    <t>2016_90814</t>
  </si>
  <si>
    <t>2016_90815</t>
  </si>
  <si>
    <t>Year 2017</t>
  </si>
  <si>
    <t>2017_90802</t>
  </si>
  <si>
    <t>2017_90803</t>
  </si>
  <si>
    <t>2017_90804</t>
  </si>
  <si>
    <t>2017_90805</t>
  </si>
  <si>
    <t>2017_90806</t>
  </si>
  <si>
    <t>2017_90807</t>
  </si>
  <si>
    <t>2017_90808</t>
  </si>
  <si>
    <t>2017_90810</t>
  </si>
  <si>
    <t>2017_90813</t>
  </si>
  <si>
    <t>2017_90814</t>
  </si>
  <si>
    <t>2017_90815</t>
  </si>
  <si>
    <t>Year 2018</t>
  </si>
  <si>
    <t>2018_90802</t>
  </si>
  <si>
    <t>2018_90803</t>
  </si>
  <si>
    <t>2018_90804</t>
  </si>
  <si>
    <t>2018_90805</t>
  </si>
  <si>
    <t>2018_90806</t>
  </si>
  <si>
    <t>2018_90807</t>
  </si>
  <si>
    <t>2018_90808</t>
  </si>
  <si>
    <t>2018_90810</t>
  </si>
  <si>
    <t>2018_90813</t>
  </si>
  <si>
    <t>2018_90814</t>
  </si>
  <si>
    <t>2018_90815</t>
  </si>
  <si>
    <t>Year 2019</t>
  </si>
  <si>
    <t>2019_90802</t>
  </si>
  <si>
    <t>2019_90803</t>
  </si>
  <si>
    <t>2019_90804</t>
  </si>
  <si>
    <t>2019_90805</t>
  </si>
  <si>
    <t>2019_90806</t>
  </si>
  <si>
    <t>2019_90807</t>
  </si>
  <si>
    <t>2019_90808</t>
  </si>
  <si>
    <t>2019_90810</t>
  </si>
  <si>
    <t>2019_90813</t>
  </si>
  <si>
    <t>2019_90814</t>
  </si>
  <si>
    <t>2019_90815</t>
  </si>
  <si>
    <t xml:space="preserve">Year 2020 </t>
  </si>
  <si>
    <t>2020_90802</t>
  </si>
  <si>
    <t>2020_90803</t>
  </si>
  <si>
    <t>2020_90804</t>
  </si>
  <si>
    <t>2020_90805</t>
  </si>
  <si>
    <t>2020_90806</t>
  </si>
  <si>
    <t>2020_90807</t>
  </si>
  <si>
    <t>2020_90808</t>
  </si>
  <si>
    <t>2020_90810</t>
  </si>
  <si>
    <t>2020_90813</t>
  </si>
  <si>
    <t>2020_90814</t>
  </si>
  <si>
    <t>2020_90815</t>
  </si>
  <si>
    <t>Year 2021</t>
  </si>
  <si>
    <t>2021_90802</t>
  </si>
  <si>
    <t>2021_90803</t>
  </si>
  <si>
    <t>2021_90804</t>
  </si>
  <si>
    <t>2021_90805</t>
  </si>
  <si>
    <t>2021_90806</t>
  </si>
  <si>
    <t>2021_90807</t>
  </si>
  <si>
    <t>2021_90808</t>
  </si>
  <si>
    <t>2021_90810</t>
  </si>
  <si>
    <t>2021_90813</t>
  </si>
  <si>
    <t>2021_90814</t>
  </si>
  <si>
    <t>2021_90815</t>
  </si>
  <si>
    <t>Year 2022</t>
  </si>
  <si>
    <t>2022_90802</t>
  </si>
  <si>
    <t>2022_90803</t>
  </si>
  <si>
    <t>2022_90804</t>
  </si>
  <si>
    <t>2022_90805</t>
  </si>
  <si>
    <t>2022_90806</t>
  </si>
  <si>
    <t>2022_90807</t>
  </si>
  <si>
    <t>2022_90808</t>
  </si>
  <si>
    <t>2022_90810</t>
  </si>
  <si>
    <t>2022_90813</t>
  </si>
  <si>
    <t>2022_90814</t>
  </si>
  <si>
    <t>2022_90815</t>
  </si>
  <si>
    <t>Year 2023</t>
  </si>
  <si>
    <t>2023_90802</t>
  </si>
  <si>
    <t>2023_90803</t>
  </si>
  <si>
    <t>2023_90804</t>
  </si>
  <si>
    <t>2023_90805</t>
  </si>
  <si>
    <t>2023_90806</t>
  </si>
  <si>
    <t>2023_90807</t>
  </si>
  <si>
    <t>2023_90808</t>
  </si>
  <si>
    <t>2023_90810</t>
  </si>
  <si>
    <t>2023_90813</t>
  </si>
  <si>
    <t>2023_90814</t>
  </si>
  <si>
    <t>2023_90815</t>
  </si>
  <si>
    <t>2023</t>
  </si>
  <si>
    <t xml:space="preserve">Female </t>
  </si>
  <si>
    <t>2017 15-44</t>
  </si>
  <si>
    <t>2018 15-44</t>
  </si>
  <si>
    <t>2019 15-44</t>
  </si>
  <si>
    <t xml:space="preserve">2020 15-44 </t>
  </si>
  <si>
    <t>2021 15-44</t>
  </si>
  <si>
    <t xml:space="preserve">Zip totals and LB totals will not match due to city bound overlap </t>
  </si>
  <si>
    <t>Total Calc</t>
  </si>
  <si>
    <t>Total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</si>
</sst>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9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00"/>
      <name val="Calibri"/>
      <family val="2"/>
    </font>
    <font>
      <sz val="13"/>
      <color rgb="FFFF0000"/>
      <name val="Arial"/>
      <family val="2"/>
    </font>
    <font>
      <i/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5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 wrapText="1" indent="2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4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 indent="2"/>
    </xf>
    <xf numFmtId="0" fontId="14" fillId="0" borderId="0" xfId="0" applyFont="1" applyAlignment="1">
      <alignment horizontal="right"/>
    </xf>
    <xf numFmtId="3" fontId="10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8" fillId="6" borderId="0" xfId="1" applyFont="1" applyFill="1" applyAlignment="1">
      <alignment horizontal="left"/>
    </xf>
    <xf numFmtId="0" fontId="2" fillId="0" borderId="0" xfId="1" applyFill="1" applyAlignment="1">
      <alignment horizontal="center" vertical="center"/>
    </xf>
    <xf numFmtId="0" fontId="18" fillId="0" borderId="0" xfId="0" applyFont="1"/>
    <xf numFmtId="0" fontId="13" fillId="0" borderId="0" xfId="0" applyFont="1" applyAlignment="1">
      <alignment wrapText="1"/>
    </xf>
    <xf numFmtId="0" fontId="2" fillId="0" borderId="0" xfId="1" applyAlignment="1">
      <alignment horizontal="right" wrapText="1"/>
    </xf>
    <xf numFmtId="0" fontId="19" fillId="9" borderId="0" xfId="0" applyFont="1" applyFill="1"/>
    <xf numFmtId="0" fontId="20" fillId="0" borderId="0" xfId="0" applyFont="1"/>
    <xf numFmtId="16" fontId="20" fillId="0" borderId="0" xfId="0" quotePrefix="1" applyNumberFormat="1" applyFont="1"/>
    <xf numFmtId="0" fontId="2" fillId="0" borderId="0" xfId="1" applyFill="1"/>
    <xf numFmtId="0" fontId="19" fillId="0" borderId="0" xfId="0" applyFont="1"/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3" fontId="10" fillId="0" borderId="0" xfId="0" applyNumberFormat="1" applyFont="1" applyAlignment="1">
      <alignment wrapText="1"/>
    </xf>
    <xf numFmtId="3" fontId="0" fillId="0" borderId="0" xfId="0" applyNumberFormat="1"/>
    <xf numFmtId="0" fontId="2" fillId="6" borderId="0" xfId="1" applyFill="1" applyAlignment="1">
      <alignment horizontal="left"/>
    </xf>
    <xf numFmtId="3" fontId="1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/>
    <xf numFmtId="3" fontId="10" fillId="0" borderId="0" xfId="0" applyNumberFormat="1" applyFont="1"/>
    <xf numFmtId="0" fontId="10" fillId="8" borderId="0" xfId="0" applyFont="1" applyFill="1"/>
    <xf numFmtId="3" fontId="10" fillId="8" borderId="0" xfId="0" applyNumberFormat="1" applyFont="1" applyFill="1"/>
    <xf numFmtId="0" fontId="10" fillId="10" borderId="0" xfId="0" applyFont="1" applyFill="1"/>
    <xf numFmtId="3" fontId="10" fillId="10" borderId="0" xfId="0" applyNumberFormat="1" applyFont="1" applyFill="1"/>
    <xf numFmtId="0" fontId="13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/>
    </xf>
    <xf numFmtId="16" fontId="10" fillId="0" borderId="0" xfId="0" quotePrefix="1" applyNumberFormat="1" applyFont="1"/>
    <xf numFmtId="0" fontId="10" fillId="2" borderId="0" xfId="0" applyFont="1" applyFill="1"/>
    <xf numFmtId="3" fontId="10" fillId="2" borderId="0" xfId="0" applyNumberFormat="1" applyFont="1" applyFill="1"/>
    <xf numFmtId="0" fontId="10" fillId="11" borderId="0" xfId="0" applyFont="1" applyFill="1"/>
    <xf numFmtId="3" fontId="10" fillId="11" borderId="0" xfId="0" applyNumberFormat="1" applyFont="1" applyFill="1"/>
    <xf numFmtId="0" fontId="10" fillId="12" borderId="0" xfId="0" applyFont="1" applyFill="1"/>
    <xf numFmtId="3" fontId="10" fillId="12" borderId="0" xfId="0" applyNumberFormat="1" applyFont="1" applyFill="1"/>
    <xf numFmtId="0" fontId="10" fillId="7" borderId="0" xfId="0" applyFont="1" applyFill="1"/>
    <xf numFmtId="3" fontId="10" fillId="7" borderId="0" xfId="0" applyNumberFormat="1" applyFont="1" applyFill="1"/>
    <xf numFmtId="0" fontId="10" fillId="13" borderId="0" xfId="0" applyFont="1" applyFill="1"/>
    <xf numFmtId="3" fontId="10" fillId="13" borderId="0" xfId="0" applyNumberFormat="1" applyFont="1" applyFill="1"/>
    <xf numFmtId="0" fontId="5" fillId="0" borderId="0" xfId="0" applyFont="1" applyAlignment="1">
      <alignment horizontal="left" indent="2"/>
    </xf>
    <xf numFmtId="0" fontId="19" fillId="0" borderId="0" xfId="0" applyFont="1" applyAlignment="1">
      <alignment horizontal="center"/>
    </xf>
    <xf numFmtId="0" fontId="2" fillId="0" borderId="0" xfId="1" applyAlignment="1">
      <alignment horizontal="left"/>
    </xf>
    <xf numFmtId="165" fontId="0" fillId="0" borderId="0" xfId="0" applyNumberFormat="1"/>
    <xf numFmtId="0" fontId="14" fillId="7" borderId="0" xfId="0" applyFont="1" applyFill="1" applyAlignment="1">
      <alignment horizontal="right"/>
    </xf>
    <xf numFmtId="3" fontId="10" fillId="7" borderId="0" xfId="0" applyNumberFormat="1" applyFont="1" applyFill="1" applyAlignment="1">
      <alignment horizontal="right" wrapText="1"/>
    </xf>
    <xf numFmtId="0" fontId="0" fillId="7" borderId="0" xfId="0" applyFill="1"/>
    <xf numFmtId="0" fontId="15" fillId="7" borderId="0" xfId="0" applyFont="1" applyFill="1"/>
    <xf numFmtId="0" fontId="14" fillId="7" borderId="0" xfId="0" applyFont="1" applyFill="1"/>
    <xf numFmtId="165" fontId="14" fillId="7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left" indent="2"/>
    </xf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3" fontId="7" fillId="7" borderId="0" xfId="0" applyNumberFormat="1" applyFont="1" applyFill="1"/>
    <xf numFmtId="0" fontId="19" fillId="7" borderId="0" xfId="0" applyFont="1" applyFill="1"/>
    <xf numFmtId="0" fontId="13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3" fillId="7" borderId="0" xfId="0" applyFont="1" applyFill="1" applyAlignment="1">
      <alignment horizontal="left" indent="2"/>
    </xf>
    <xf numFmtId="3" fontId="14" fillId="7" borderId="0" xfId="0" applyNumberFormat="1" applyFont="1" applyFill="1" applyAlignment="1">
      <alignment horizontal="right"/>
    </xf>
    <xf numFmtId="164" fontId="3" fillId="0" borderId="0" xfId="0" applyNumberFormat="1" applyFont="1"/>
    <xf numFmtId="3" fontId="0" fillId="0" borderId="0" xfId="0" applyNumberFormat="1" applyAlignment="1">
      <alignment wrapText="1"/>
    </xf>
    <xf numFmtId="0" fontId="2" fillId="14" borderId="0" xfId="1" applyFill="1"/>
    <xf numFmtId="0" fontId="0" fillId="14" borderId="0" xfId="0" applyFill="1"/>
    <xf numFmtId="0" fontId="13" fillId="14" borderId="0" xfId="0" applyFont="1" applyFill="1" applyAlignment="1">
      <alignment wrapText="1"/>
    </xf>
    <xf numFmtId="3" fontId="10" fillId="14" borderId="0" xfId="0" applyNumberFormat="1" applyFont="1" applyFill="1"/>
    <xf numFmtId="3" fontId="0" fillId="14" borderId="0" xfId="0" applyNumberFormat="1" applyFill="1"/>
    <xf numFmtId="0" fontId="10" fillId="14" borderId="0" xfId="0" applyFont="1" applyFill="1" applyAlignment="1">
      <alignment wrapText="1"/>
    </xf>
    <xf numFmtId="0" fontId="14" fillId="14" borderId="0" xfId="0" applyFont="1" applyFill="1"/>
    <xf numFmtId="0" fontId="14" fillId="14" borderId="0" xfId="0" applyFont="1" applyFill="1" applyAlignment="1">
      <alignment horizontal="right"/>
    </xf>
    <xf numFmtId="0" fontId="15" fillId="14" borderId="0" xfId="0" applyFont="1" applyFill="1"/>
    <xf numFmtId="0" fontId="15" fillId="14" borderId="0" xfId="0" applyFont="1" applyFill="1" applyAlignment="1">
      <alignment horizontal="right"/>
    </xf>
    <xf numFmtId="0" fontId="19" fillId="14" borderId="0" xfId="0" applyFont="1" applyFill="1"/>
    <xf numFmtId="0" fontId="10" fillId="14" borderId="0" xfId="0" applyFont="1" applyFill="1"/>
    <xf numFmtId="3" fontId="14" fillId="14" borderId="0" xfId="0" applyNumberFormat="1" applyFont="1" applyFill="1" applyAlignment="1">
      <alignment horizontal="right"/>
    </xf>
    <xf numFmtId="16" fontId="10" fillId="14" borderId="0" xfId="0" quotePrefix="1" applyNumberFormat="1" applyFont="1" applyFill="1"/>
    <xf numFmtId="0" fontId="13" fillId="14" borderId="0" xfId="0" applyFont="1" applyFill="1" applyAlignment="1">
      <alignment horizontal="right" wrapText="1"/>
    </xf>
    <xf numFmtId="49" fontId="14" fillId="14" borderId="0" xfId="0" applyNumberFormat="1" applyFont="1" applyFill="1"/>
    <xf numFmtId="0" fontId="10" fillId="14" borderId="0" xfId="0" applyFont="1" applyFill="1" applyAlignment="1">
      <alignment horizontal="left" wrapText="1" indent="2"/>
    </xf>
    <xf numFmtId="3" fontId="0" fillId="14" borderId="0" xfId="0" applyNumberFormat="1" applyFill="1" applyAlignment="1">
      <alignment wrapText="1"/>
    </xf>
    <xf numFmtId="3" fontId="10" fillId="7" borderId="0" xfId="0" applyNumberFormat="1" applyFont="1" applyFill="1" applyAlignment="1">
      <alignment horizontal="right"/>
    </xf>
    <xf numFmtId="0" fontId="24" fillId="2" borderId="0" xfId="1" applyFont="1" applyFill="1"/>
    <xf numFmtId="0" fontId="15" fillId="7" borderId="0" xfId="0" applyFont="1" applyFill="1" applyAlignment="1">
      <alignment horizontal="right"/>
    </xf>
    <xf numFmtId="3" fontId="0" fillId="7" borderId="0" xfId="0" applyNumberFormat="1" applyFill="1"/>
    <xf numFmtId="0" fontId="24" fillId="0" borderId="0" xfId="1" applyFont="1"/>
    <xf numFmtId="3" fontId="19" fillId="0" borderId="0" xfId="0" applyNumberFormat="1" applyFont="1"/>
    <xf numFmtId="0" fontId="0" fillId="15" borderId="0" xfId="0" applyFill="1"/>
    <xf numFmtId="0" fontId="2" fillId="15" borderId="0" xfId="1" applyFill="1"/>
    <xf numFmtId="0" fontId="19" fillId="15" borderId="0" xfId="0" applyFont="1" applyFill="1"/>
    <xf numFmtId="0" fontId="10" fillId="15" borderId="0" xfId="0" applyFont="1" applyFill="1"/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9" fillId="15" borderId="0" xfId="0" applyNumberFormat="1" applyFont="1" applyFill="1"/>
    <xf numFmtId="164" fontId="0" fillId="15" borderId="0" xfId="0" applyNumberFormat="1" applyFill="1"/>
    <xf numFmtId="164" fontId="0" fillId="15" borderId="5" xfId="0" applyNumberFormat="1" applyFill="1" applyBorder="1"/>
    <xf numFmtId="164" fontId="0" fillId="0" borderId="0" xfId="0" applyNumberFormat="1"/>
    <xf numFmtId="164" fontId="0" fillId="0" borderId="6" xfId="0" applyNumberFormat="1" applyBorder="1"/>
    <xf numFmtId="164" fontId="19" fillId="0" borderId="0" xfId="0" applyNumberFormat="1" applyFont="1"/>
    <xf numFmtId="164" fontId="0" fillId="0" borderId="9" xfId="0" applyNumberFormat="1" applyBorder="1"/>
    <xf numFmtId="0" fontId="0" fillId="2" borderId="0" xfId="0" applyFill="1"/>
    <xf numFmtId="0" fontId="19" fillId="2" borderId="0" xfId="0" applyFont="1" applyFill="1"/>
    <xf numFmtId="164" fontId="0" fillId="0" borderId="0" xfId="2" applyNumberFormat="1" applyFont="1"/>
    <xf numFmtId="164" fontId="0" fillId="0" borderId="0" xfId="2" applyNumberFormat="1" applyFont="1" applyFill="1" applyAlignment="1">
      <alignment wrapText="1"/>
    </xf>
    <xf numFmtId="164" fontId="0" fillId="0" borderId="0" xfId="2" applyNumberFormat="1" applyFont="1" applyFill="1"/>
    <xf numFmtId="49" fontId="19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/>
    <xf numFmtId="0" fontId="19" fillId="0" borderId="0" xfId="0" applyFont="1" applyAlignment="1">
      <alignment horizontal="left"/>
    </xf>
    <xf numFmtId="164" fontId="0" fillId="0" borderId="0" xfId="2" applyNumberFormat="1" applyFont="1" applyAlignment="1">
      <alignment horizontal="left"/>
    </xf>
    <xf numFmtId="164" fontId="13" fillId="14" borderId="0" xfId="2" applyNumberFormat="1" applyFont="1" applyFill="1" applyAlignment="1">
      <alignment horizontal="right" wrapText="1"/>
    </xf>
    <xf numFmtId="164" fontId="14" fillId="7" borderId="0" xfId="2" applyNumberFormat="1" applyFont="1" applyFill="1" applyAlignment="1">
      <alignment horizontal="right"/>
    </xf>
    <xf numFmtId="0" fontId="24" fillId="0" borderId="0" xfId="1" applyFont="1" applyAlignment="1">
      <alignment horizontal="right"/>
    </xf>
    <xf numFmtId="0" fontId="0" fillId="0" borderId="0" xfId="0" applyAlignment="1">
      <alignment wrapText="1"/>
    </xf>
    <xf numFmtId="0" fontId="19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3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 wrapText="1" indent="1"/>
    </xf>
    <xf numFmtId="0" fontId="2" fillId="7" borderId="0" xfId="1" applyFill="1" applyAlignment="1">
      <alignment horizontal="left"/>
    </xf>
    <xf numFmtId="164" fontId="14" fillId="0" borderId="0" xfId="0" applyNumberFormat="1" applyFont="1" applyAlignment="1">
      <alignment horizontal="right"/>
    </xf>
    <xf numFmtId="0" fontId="28" fillId="0" borderId="0" xfId="0" applyFont="1"/>
    <xf numFmtId="0" fontId="29" fillId="0" borderId="0" xfId="0" applyFont="1" applyAlignment="1">
      <alignment wrapText="1"/>
    </xf>
    <xf numFmtId="3" fontId="30" fillId="1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A4FD600-0EF8-4A73-9A2A-EECB43FC43A5}">
    <Anchor>
      <Comment id="{903E9DBD-6EEE-40C3-BD48-29785379095E}"/>
    </Anchor>
    <History>
      <Event time="2024-12-05T17:01:34.10" id="{BBD1986B-2CF4-41B3-AF65-85ED067E6F77}">
        <Attribution userId="S::elizabeth.marquez@longbeach.gov::3be4fa9c-1c0f-419d-bf7b-24ae0a1eaf37" userName="Elizabeth Marquez" userProvider="AD"/>
        <Anchor>
          <Comment id="{903E9DBD-6EEE-40C3-BD48-29785379095E}"/>
        </Anchor>
        <Create/>
      </Event>
      <Event time="2024-12-05T17:01:34.10" id="{447B3ADD-BDB5-4BE2-A959-83162DEB732C}">
        <Attribution userId="S::elizabeth.marquez@longbeach.gov::3be4fa9c-1c0f-419d-bf7b-24ae0a1eaf37" userName="Elizabeth Marquez" userProvider="AD"/>
        <Anchor>
          <Comment id="{903E9DBD-6EEE-40C3-BD48-29785379095E}"/>
        </Anchor>
        <Assign userId="S::Sandhya.Muthuramalingam@longbeach.gov::6e48fa3a-68c9-42f1-a672-e30c8faaeae2" userName="Sandhya Muthuramalingam" userProvider="AD"/>
      </Event>
      <Event time="2024-12-05T17:01:34.10" id="{A5760726-1AB1-4148-8091-793D81B7439C}">
        <Attribution userId="S::elizabeth.marquez@longbeach.gov::3be4fa9c-1c0f-419d-bf7b-24ae0a1eaf37" userName="Elizabeth Marquez" userProvider="AD"/>
        <Anchor>
          <Comment id="{903E9DBD-6EEE-40C3-BD48-29785379095E}"/>
        </Anchor>
        <SetTitle title="@Sandhya Muthuramalingam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ndhya Muthuramalingam" id="{753F76B3-266F-4F78-9FEB-0F08FF2110EB}" userId="Sandhya.Muthuramalingam@longbeach.gov" providerId="PeoplePicker"/>
  <person displayName="Elizabeth Marquez" id="{A2071DCF-AC4A-4554-94C6-EBE39673EE8F}" userId="S::elizabeth.marquez@longbeach.gov::3be4fa9c-1c0f-419d-bf7b-24ae0a1eaf3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4-12-05T17:01:35.02" personId="{A2071DCF-AC4A-4554-94C6-EBE39673EE8F}" id="{903E9DBD-6EEE-40C3-BD48-29785379095E}">
    <text xml:space="preserve">@Sandhya Muthuramalingam </text>
    <mentions>
      <mention mentionpersonId="{753F76B3-266F-4F78-9FEB-0F08FF2110EB}" mentionId="{D3D825CF-8C56-480E-8D65-04B75B57D769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census.gov/table/ACSST1Y2019.S0101?q=long%20beach&amp;t=Age%20and%20Sex&amp;g=160XX00US0643000&amp;moe=fals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ata.census.gov/table/ACSST5Y2023.S0101?q=long%20beach&amp;t=Age%20and%20Sex&amp;g=160XX00US0643000&amp;moe=false" TargetMode="External"/><Relationship Id="rId7" Type="http://schemas.openxmlformats.org/officeDocument/2006/relationships/hyperlink" Target="https://data.census.gov/table/ACSST5Y2020.S0101?q=long%20beach&amp;t=Age%20and%20Sex&amp;g=160XX00US0643000&amp;tid=ACSST5Y2021.S010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ata.census.gov/table/ACSST5Y2023.S0101?q=long%20beach&amp;t=Age%20and%20Sex&amp;g=160XX00US0643000&amp;moe=false" TargetMode="External"/><Relationship Id="rId1" Type="http://schemas.openxmlformats.org/officeDocument/2006/relationships/hyperlink" Target="https://data.census.gov/table/ACSST5Y2023.S0101?q=long%20beach&amp;t=Age%20and%20Sex&amp;g=160XX00US0643000&amp;moe=false" TargetMode="External"/><Relationship Id="rId6" Type="http://schemas.openxmlformats.org/officeDocument/2006/relationships/hyperlink" Target="https://data.census.gov/table/ACSST1Y2019.S0101?q=long%20beach&amp;t=Age%20and%20Sex&amp;g=160XX00US0643000&amp;moe=fals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ata.census.gov/table/ACSST5Y2020.S0101?q=long%20beach&amp;t=Age%20and%20Sex&amp;g=160XX00US0643000&amp;tid=ACSST5Y2021.S010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census.gov/table/ACSDP5Y2022.DP05?q=long%20beach&amp;t=Age%20and%20Sex&amp;g=160XX00US0643000&amp;moe=false" TargetMode="External"/><Relationship Id="rId9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B?q=B01001H&amp;g=160XX00US0643000" TargetMode="External"/><Relationship Id="rId2" Type="http://schemas.openxmlformats.org/officeDocument/2006/relationships/hyperlink" Target="https://data.census.gov/table/ACSDT5Y2023.B01001D?q=B01001H&amp;g=160XX00US0643000" TargetMode="External"/><Relationship Id="rId1" Type="http://schemas.openxmlformats.org/officeDocument/2006/relationships/hyperlink" Target="https://data.census.gov/table/ACSDT5Y2023.B01001I?q=B01001H&amp;g=160XX00US0643000" TargetMode="External"/><Relationship Id="rId6" Type="http://schemas.openxmlformats.org/officeDocument/2006/relationships/hyperlink" Target="https://data.census.gov/table/ACSDT5Y2023.B01001H?q=B01001H&amp;g=160XX00US0643000" TargetMode="External"/><Relationship Id="rId5" Type="http://schemas.openxmlformats.org/officeDocument/2006/relationships/hyperlink" Target="https://data.census.gov/table/ACSDT5Y2023.B01001C?q=B01001H&amp;g=160XX00US0643000" TargetMode="External"/><Relationship Id="rId4" Type="http://schemas.openxmlformats.org/officeDocument/2006/relationships/hyperlink" Target="https://data.census.gov/table/ACSDT5Y2023.B01001E?q=B01001H&amp;g=160XX00US06430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S0101" TargetMode="External"/><Relationship Id="rId1" Type="http://schemas.openxmlformats.org/officeDocument/2006/relationships/hyperlink" Target="https://data.census.gov/cedsci/table?q=long%20beach&amp;g=1600000US0643000&amp;y=2019&amp;tid=ACSDP5Y2019.DP05&amp;moe=false&amp;hidePreview=fals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2" Type="http://schemas.openxmlformats.org/officeDocument/2006/relationships/hyperlink" Target="https://data.census.gov/table/ACSDT1Y2022.B01001?q=B01001&amp;t=Populations%20and%20People&amp;g=860XX00US90808,90807,90815,90804,90803,90814,90806,90805,90810,90813,90802_160XX00US0643000&amp;hidePreview=true&amp;tid=ACSDT5Y2019.B01001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D73-D602-4B71-BAAB-C0C9ABEC0BC7}">
  <dimension ref="A1:L125"/>
  <sheetViews>
    <sheetView zoomScale="111" zoomScaleNormal="130" workbookViewId="0">
      <selection activeCell="B69" sqref="B69"/>
    </sheetView>
  </sheetViews>
  <sheetFormatPr defaultColWidth="8.77734375" defaultRowHeight="14.4" x14ac:dyDescent="0.3"/>
  <cols>
    <col min="1" max="1" width="46" style="10" customWidth="1"/>
    <col min="2" max="2" width="17.6640625" style="19" customWidth="1"/>
    <col min="3" max="3" width="12.33203125" customWidth="1"/>
    <col min="4" max="4" width="11" customWidth="1"/>
    <col min="5" max="5" width="12.44140625" bestFit="1" customWidth="1"/>
    <col min="6" max="6" width="11.6640625" bestFit="1" customWidth="1"/>
    <col min="7" max="7" width="11.6640625" customWidth="1"/>
    <col min="8" max="8" width="11.6640625" bestFit="1" customWidth="1"/>
    <col min="9" max="11" width="11.44140625" bestFit="1" customWidth="1"/>
    <col min="12" max="12" width="10.77734375" customWidth="1"/>
  </cols>
  <sheetData>
    <row r="1" spans="1:12" ht="33.75" customHeight="1" x14ac:dyDescent="0.35">
      <c r="A1" s="166" t="s">
        <v>0</v>
      </c>
      <c r="B1" s="166"/>
    </row>
    <row r="2" spans="1:12" x14ac:dyDescent="0.3">
      <c r="A2" s="35" t="s">
        <v>1</v>
      </c>
      <c r="B2" s="32"/>
    </row>
    <row r="3" spans="1:12" x14ac:dyDescent="0.3">
      <c r="A3" s="8" t="s">
        <v>2</v>
      </c>
      <c r="B3" s="20">
        <v>458491</v>
      </c>
    </row>
    <row r="4" spans="1:12" x14ac:dyDescent="0.3">
      <c r="A4" s="8" t="s">
        <v>3</v>
      </c>
      <c r="B4" s="46">
        <v>226934</v>
      </c>
      <c r="C4" s="40"/>
    </row>
    <row r="5" spans="1:12" x14ac:dyDescent="0.3">
      <c r="A5" s="8" t="s">
        <v>4</v>
      </c>
      <c r="B5" s="46">
        <v>231557</v>
      </c>
    </row>
    <row r="6" spans="1:12" x14ac:dyDescent="0.3">
      <c r="A6" s="8"/>
      <c r="B6" s="20"/>
    </row>
    <row r="7" spans="1:12" x14ac:dyDescent="0.3">
      <c r="A7" s="15" t="s">
        <v>5</v>
      </c>
      <c r="B7" s="21"/>
      <c r="F7" s="36" t="s">
        <v>6</v>
      </c>
      <c r="G7" s="36" t="s">
        <v>7</v>
      </c>
      <c r="H7" s="36" t="s">
        <v>8</v>
      </c>
      <c r="I7" s="36" t="s">
        <v>9</v>
      </c>
      <c r="J7" s="113" t="s">
        <v>10</v>
      </c>
      <c r="K7" s="113" t="s">
        <v>11</v>
      </c>
      <c r="L7" s="36" t="s">
        <v>12</v>
      </c>
    </row>
    <row r="8" spans="1:12" x14ac:dyDescent="0.3">
      <c r="A8" s="54" t="s">
        <v>13</v>
      </c>
      <c r="B8" s="55">
        <v>23839</v>
      </c>
      <c r="C8" s="90"/>
      <c r="F8" s="36" t="s">
        <v>14</v>
      </c>
      <c r="G8" s="136">
        <v>23839</v>
      </c>
      <c r="H8" s="136">
        <v>25083</v>
      </c>
      <c r="I8" s="136">
        <v>27277</v>
      </c>
      <c r="J8" s="136">
        <v>28707</v>
      </c>
      <c r="K8" s="136">
        <v>26035</v>
      </c>
      <c r="L8" s="136">
        <f t="shared" ref="L8:L13" si="0">SUM(G8:K8)</f>
        <v>130941</v>
      </c>
    </row>
    <row r="9" spans="1:12" x14ac:dyDescent="0.3">
      <c r="A9" s="56" t="s">
        <v>15</v>
      </c>
      <c r="B9" s="57">
        <v>23956</v>
      </c>
      <c r="C9" s="90"/>
      <c r="F9" s="36" t="s">
        <v>16</v>
      </c>
      <c r="G9" s="136">
        <v>51720</v>
      </c>
      <c r="H9" s="136">
        <v>53779</v>
      </c>
      <c r="I9" s="136">
        <v>56108</v>
      </c>
      <c r="J9" s="136">
        <v>55813</v>
      </c>
      <c r="K9" s="136">
        <v>56884</v>
      </c>
      <c r="L9" s="136">
        <f t="shared" si="0"/>
        <v>274304</v>
      </c>
    </row>
    <row r="10" spans="1:12" x14ac:dyDescent="0.3">
      <c r="A10" s="56" t="s">
        <v>17</v>
      </c>
      <c r="B10" s="57">
        <v>27764</v>
      </c>
      <c r="C10" s="90"/>
      <c r="F10" s="36" t="s">
        <v>18</v>
      </c>
      <c r="G10" s="136">
        <v>62192</v>
      </c>
      <c r="H10" s="136">
        <v>64133</v>
      </c>
      <c r="I10" s="136">
        <v>62321</v>
      </c>
      <c r="J10" s="136">
        <v>63052</v>
      </c>
      <c r="K10" s="136">
        <v>61875</v>
      </c>
      <c r="L10" s="136">
        <f t="shared" si="0"/>
        <v>313573</v>
      </c>
    </row>
    <row r="11" spans="1:12" x14ac:dyDescent="0.3">
      <c r="A11" s="58" t="s">
        <v>19</v>
      </c>
      <c r="B11" s="59">
        <v>30410</v>
      </c>
      <c r="C11" s="90"/>
      <c r="F11" s="36" t="s">
        <v>20</v>
      </c>
      <c r="G11" s="136">
        <v>143170</v>
      </c>
      <c r="H11" s="136">
        <v>144630</v>
      </c>
      <c r="I11" s="136">
        <v>146657</v>
      </c>
      <c r="J11" s="136">
        <v>145021</v>
      </c>
      <c r="K11" s="136">
        <v>146032</v>
      </c>
      <c r="L11" s="136">
        <f t="shared" si="0"/>
        <v>725510</v>
      </c>
    </row>
    <row r="12" spans="1:12" x14ac:dyDescent="0.3">
      <c r="A12" s="58" t="s">
        <v>21</v>
      </c>
      <c r="B12" s="59">
        <v>31782</v>
      </c>
      <c r="C12" s="90"/>
      <c r="F12" s="36" t="s">
        <v>22</v>
      </c>
      <c r="G12" s="136">
        <v>116866</v>
      </c>
      <c r="H12" s="136">
        <v>116821</v>
      </c>
      <c r="I12" s="136">
        <v>118200</v>
      </c>
      <c r="J12" s="136">
        <v>115327</v>
      </c>
      <c r="K12" s="136">
        <v>113781</v>
      </c>
      <c r="L12" s="136">
        <f t="shared" si="0"/>
        <v>580995</v>
      </c>
    </row>
    <row r="13" spans="1:12" x14ac:dyDescent="0.3">
      <c r="A13" s="47" t="s">
        <v>23</v>
      </c>
      <c r="B13" s="48">
        <v>37448</v>
      </c>
      <c r="C13" s="90"/>
      <c r="F13" s="36" t="s">
        <v>24</v>
      </c>
      <c r="G13" s="136">
        <v>60704</v>
      </c>
      <c r="H13" s="136">
        <f>SUM(B33:B34)</f>
        <v>60704</v>
      </c>
      <c r="I13" s="136">
        <v>56002</v>
      </c>
      <c r="J13" s="136">
        <v>54161</v>
      </c>
      <c r="K13" s="136">
        <v>58038</v>
      </c>
      <c r="L13" s="136">
        <f t="shared" si="0"/>
        <v>289609</v>
      </c>
    </row>
    <row r="14" spans="1:12" x14ac:dyDescent="0.3">
      <c r="A14" s="47" t="s">
        <v>25</v>
      </c>
      <c r="B14" s="48">
        <v>40513</v>
      </c>
      <c r="C14" s="90"/>
      <c r="F14" s="36"/>
      <c r="G14" s="36"/>
    </row>
    <row r="15" spans="1:12" x14ac:dyDescent="0.3">
      <c r="A15" s="47" t="s">
        <v>26</v>
      </c>
      <c r="B15" s="48">
        <v>35654</v>
      </c>
      <c r="C15" s="90"/>
      <c r="D15" s="40"/>
      <c r="F15" s="36" t="s">
        <v>6</v>
      </c>
      <c r="G15" s="36" t="s">
        <v>7</v>
      </c>
      <c r="H15" s="36" t="s">
        <v>8</v>
      </c>
      <c r="I15" s="36" t="s">
        <v>9</v>
      </c>
      <c r="J15" s="113" t="s">
        <v>10</v>
      </c>
      <c r="K15" s="113" t="s">
        <v>11</v>
      </c>
      <c r="L15" s="36" t="s">
        <v>12</v>
      </c>
    </row>
    <row r="16" spans="1:12" x14ac:dyDescent="0.3">
      <c r="A16" s="47" t="s">
        <v>27</v>
      </c>
      <c r="B16" s="48">
        <v>29555</v>
      </c>
      <c r="C16" s="90"/>
      <c r="D16" s="40"/>
      <c r="F16" s="143" t="s">
        <v>28</v>
      </c>
      <c r="G16" s="144">
        <v>105969</v>
      </c>
      <c r="H16" s="136">
        <v>108993</v>
      </c>
      <c r="I16" s="136">
        <v>112619</v>
      </c>
      <c r="J16" s="136">
        <v>113344</v>
      </c>
      <c r="K16" s="136">
        <v>116813</v>
      </c>
      <c r="L16" s="136">
        <f>SUM(G16:K16)</f>
        <v>557738</v>
      </c>
    </row>
    <row r="17" spans="1:12" x14ac:dyDescent="0.3">
      <c r="A17" s="49" t="s">
        <v>29</v>
      </c>
      <c r="B17" s="50">
        <v>29144</v>
      </c>
      <c r="C17" s="90"/>
      <c r="F17" s="143" t="s">
        <v>30</v>
      </c>
      <c r="G17" s="144">
        <f>SUM(B12:B13)</f>
        <v>69230</v>
      </c>
      <c r="H17" s="136">
        <v>73958</v>
      </c>
      <c r="I17" s="136">
        <v>74557</v>
      </c>
      <c r="J17" s="136">
        <v>76997</v>
      </c>
      <c r="K17" s="136">
        <v>78164</v>
      </c>
      <c r="L17" s="136">
        <f t="shared" ref="L17:L23" si="1">SUM(G17:K17)</f>
        <v>372906</v>
      </c>
    </row>
    <row r="18" spans="1:12" x14ac:dyDescent="0.3">
      <c r="A18" s="49" t="s">
        <v>31</v>
      </c>
      <c r="B18" s="50">
        <v>30113</v>
      </c>
      <c r="C18" s="90"/>
      <c r="F18" s="143" t="s">
        <v>32</v>
      </c>
      <c r="G18" s="144">
        <f>SUM(B14:B15)</f>
        <v>76167</v>
      </c>
      <c r="H18" s="136">
        <v>75090</v>
      </c>
      <c r="I18" s="136">
        <v>73800</v>
      </c>
      <c r="J18" s="136">
        <v>71935</v>
      </c>
      <c r="K18" s="136">
        <v>71970</v>
      </c>
      <c r="L18" s="136">
        <f t="shared" si="1"/>
        <v>368962</v>
      </c>
    </row>
    <row r="19" spans="1:12" x14ac:dyDescent="0.3">
      <c r="A19" s="49" t="s">
        <v>33</v>
      </c>
      <c r="B19" s="50">
        <v>30287</v>
      </c>
      <c r="C19" s="90"/>
      <c r="F19" s="143" t="s">
        <v>34</v>
      </c>
      <c r="G19" s="144">
        <f>SUM(B16:B17)</f>
        <v>58699</v>
      </c>
      <c r="H19" s="136">
        <v>59630</v>
      </c>
      <c r="I19" s="136">
        <v>61297</v>
      </c>
      <c r="J19" s="136">
        <v>60799</v>
      </c>
      <c r="K19" s="136">
        <v>62215</v>
      </c>
      <c r="L19" s="136">
        <f t="shared" si="1"/>
        <v>302640</v>
      </c>
    </row>
    <row r="20" spans="1:12" x14ac:dyDescent="0.3">
      <c r="A20" s="49" t="s">
        <v>35</v>
      </c>
      <c r="B20" s="50">
        <v>27322</v>
      </c>
      <c r="C20" s="90"/>
      <c r="F20" s="143" t="s">
        <v>36</v>
      </c>
      <c r="G20" s="144">
        <f>SUM(B18:B19)</f>
        <v>60400</v>
      </c>
      <c r="H20" s="136">
        <v>59782</v>
      </c>
      <c r="I20" s="136">
        <v>60635</v>
      </c>
      <c r="J20" s="136">
        <v>57997</v>
      </c>
      <c r="K20" s="136">
        <v>58625</v>
      </c>
      <c r="L20" s="136">
        <f t="shared" si="1"/>
        <v>297439</v>
      </c>
    </row>
    <row r="21" spans="1:12" x14ac:dyDescent="0.3">
      <c r="A21" s="60" t="s">
        <v>37</v>
      </c>
      <c r="B21" s="61">
        <v>20868</v>
      </c>
      <c r="C21" s="90"/>
      <c r="F21" s="143" t="s">
        <v>38</v>
      </c>
      <c r="G21" s="144">
        <f>SUM(B20:B21)</f>
        <v>48190</v>
      </c>
      <c r="H21" s="136">
        <v>47400</v>
      </c>
      <c r="I21" s="136">
        <v>47727</v>
      </c>
      <c r="J21" s="136">
        <v>46773</v>
      </c>
      <c r="K21" s="136">
        <v>45409</v>
      </c>
      <c r="L21" s="136">
        <f t="shared" si="1"/>
        <v>235499</v>
      </c>
    </row>
    <row r="22" spans="1:12" x14ac:dyDescent="0.3">
      <c r="A22" s="60" t="s">
        <v>39</v>
      </c>
      <c r="B22" s="61">
        <v>16947</v>
      </c>
      <c r="C22" s="90"/>
      <c r="F22" s="143" t="s">
        <v>40</v>
      </c>
      <c r="G22" s="144">
        <f>SUM(B22:B23)</f>
        <v>27273</v>
      </c>
      <c r="H22" s="137">
        <v>25275</v>
      </c>
      <c r="I22" s="138">
        <v>24013</v>
      </c>
      <c r="J22" s="138">
        <v>22127</v>
      </c>
      <c r="K22" s="138">
        <v>21506</v>
      </c>
      <c r="L22" s="136">
        <f t="shared" si="1"/>
        <v>120194</v>
      </c>
    </row>
    <row r="23" spans="1:12" x14ac:dyDescent="0.3">
      <c r="A23" s="62" t="s">
        <v>41</v>
      </c>
      <c r="B23" s="63">
        <v>10326</v>
      </c>
      <c r="C23" s="90"/>
      <c r="F23" s="143" t="s">
        <v>42</v>
      </c>
      <c r="G23" s="144">
        <f>SUM(B24:B25)</f>
        <v>12563</v>
      </c>
      <c r="H23" s="136">
        <v>12165</v>
      </c>
      <c r="I23" s="138">
        <v>11917</v>
      </c>
      <c r="J23" s="138">
        <v>12109</v>
      </c>
      <c r="K23" s="136">
        <v>12074</v>
      </c>
      <c r="L23" s="136">
        <f t="shared" si="1"/>
        <v>60828</v>
      </c>
    </row>
    <row r="24" spans="1:12" x14ac:dyDescent="0.3">
      <c r="A24" s="62" t="s">
        <v>43</v>
      </c>
      <c r="B24" s="63">
        <v>5864</v>
      </c>
      <c r="C24" s="90"/>
      <c r="F24" s="36"/>
      <c r="G24" s="36"/>
    </row>
    <row r="25" spans="1:12" x14ac:dyDescent="0.3">
      <c r="A25" s="62" t="s">
        <v>44</v>
      </c>
      <c r="B25" s="63">
        <v>6699</v>
      </c>
      <c r="C25" s="90"/>
      <c r="F25" s="36" t="s">
        <v>45</v>
      </c>
      <c r="G25" s="36" t="s">
        <v>7</v>
      </c>
      <c r="H25" s="36" t="s">
        <v>8</v>
      </c>
      <c r="I25" s="36" t="s">
        <v>9</v>
      </c>
      <c r="J25" s="36" t="s">
        <v>10</v>
      </c>
      <c r="K25" s="36" t="s">
        <v>11</v>
      </c>
      <c r="L25" s="36" t="s">
        <v>12</v>
      </c>
    </row>
    <row r="26" spans="1:12" x14ac:dyDescent="0.3">
      <c r="A26" s="8"/>
      <c r="B26" s="20"/>
      <c r="D26" s="40"/>
      <c r="F26" s="139" t="s">
        <v>46</v>
      </c>
      <c r="G26" s="136">
        <v>23839</v>
      </c>
      <c r="H26" s="136">
        <v>25083</v>
      </c>
      <c r="I26" s="136">
        <v>27277</v>
      </c>
      <c r="J26" s="136">
        <v>28707</v>
      </c>
      <c r="K26" s="136">
        <v>30438</v>
      </c>
      <c r="L26" s="136">
        <f>SUM(G26:K26)</f>
        <v>135344</v>
      </c>
    </row>
    <row r="27" spans="1:12" x14ac:dyDescent="0.3">
      <c r="A27" s="15" t="s">
        <v>47</v>
      </c>
      <c r="B27" s="20"/>
      <c r="F27" s="139" t="s">
        <v>48</v>
      </c>
      <c r="G27" s="136">
        <v>23956</v>
      </c>
      <c r="H27" s="136">
        <v>24924</v>
      </c>
      <c r="I27" s="136">
        <v>26433</v>
      </c>
      <c r="J27" s="136">
        <v>26747</v>
      </c>
      <c r="K27" s="136">
        <v>28372</v>
      </c>
      <c r="L27" s="136">
        <f t="shared" ref="L27:L35" si="2">SUM(G27:K27)</f>
        <v>130432</v>
      </c>
    </row>
    <row r="28" spans="1:12" x14ac:dyDescent="0.3">
      <c r="A28" s="44" t="s">
        <v>49</v>
      </c>
      <c r="B28" s="20">
        <f>B8</f>
        <v>23839</v>
      </c>
      <c r="F28" s="139" t="s">
        <v>50</v>
      </c>
      <c r="G28" s="136">
        <v>27764</v>
      </c>
      <c r="H28" s="136">
        <v>28855</v>
      </c>
      <c r="I28" s="136">
        <v>29675</v>
      </c>
      <c r="J28" s="136">
        <v>29066</v>
      </c>
      <c r="K28" s="136">
        <v>28825</v>
      </c>
      <c r="L28" s="136">
        <f t="shared" si="2"/>
        <v>144185</v>
      </c>
    </row>
    <row r="29" spans="1:12" x14ac:dyDescent="0.3">
      <c r="A29" s="53" t="s">
        <v>51</v>
      </c>
      <c r="B29" s="20">
        <f>SUM(B9:B10)</f>
        <v>51720</v>
      </c>
      <c r="F29" s="139" t="s">
        <v>52</v>
      </c>
      <c r="G29" s="136">
        <v>30410</v>
      </c>
      <c r="H29" s="136">
        <v>30131</v>
      </c>
      <c r="I29" s="136">
        <v>29234</v>
      </c>
      <c r="J29" s="136">
        <v>28824</v>
      </c>
      <c r="K29" s="136">
        <v>29178</v>
      </c>
      <c r="L29" s="136">
        <f t="shared" si="2"/>
        <v>147777</v>
      </c>
    </row>
    <row r="30" spans="1:12" x14ac:dyDescent="0.3">
      <c r="A30" s="44" t="s">
        <v>53</v>
      </c>
      <c r="B30" s="20">
        <f>SUM(B11:B12)</f>
        <v>62192</v>
      </c>
      <c r="F30" s="139" t="s">
        <v>30</v>
      </c>
      <c r="G30" s="136">
        <f>SUM(B12:B13)</f>
        <v>69230</v>
      </c>
      <c r="H30" s="136">
        <v>73958</v>
      </c>
      <c r="I30" s="136">
        <v>74557</v>
      </c>
      <c r="J30" s="136">
        <v>76997</v>
      </c>
      <c r="K30" s="136">
        <v>78164</v>
      </c>
      <c r="L30" s="136">
        <f t="shared" si="2"/>
        <v>372906</v>
      </c>
    </row>
    <row r="31" spans="1:12" x14ac:dyDescent="0.3">
      <c r="A31" s="44" t="s">
        <v>54</v>
      </c>
      <c r="B31" s="20">
        <f>SUM(B13:B16)</f>
        <v>143170</v>
      </c>
      <c r="F31" s="36" t="s">
        <v>32</v>
      </c>
      <c r="G31" s="136">
        <f>SUM(B14:B15)</f>
        <v>76167</v>
      </c>
      <c r="H31" s="136">
        <v>75090</v>
      </c>
      <c r="I31" s="136">
        <v>73800</v>
      </c>
      <c r="J31" s="136">
        <v>71935</v>
      </c>
      <c r="K31" s="136">
        <v>71970</v>
      </c>
      <c r="L31" s="136">
        <f t="shared" si="2"/>
        <v>368962</v>
      </c>
    </row>
    <row r="32" spans="1:12" x14ac:dyDescent="0.3">
      <c r="A32" s="44" t="s">
        <v>55</v>
      </c>
      <c r="B32" s="20">
        <f>SUM(B17:B20)</f>
        <v>116866</v>
      </c>
      <c r="F32" s="36" t="s">
        <v>34</v>
      </c>
      <c r="G32" s="136">
        <f>SUM(B16:B17)</f>
        <v>58699</v>
      </c>
      <c r="H32" s="136">
        <v>59630</v>
      </c>
      <c r="I32" s="136">
        <v>61297</v>
      </c>
      <c r="J32" s="136">
        <v>60799</v>
      </c>
      <c r="K32" s="136">
        <v>62215</v>
      </c>
      <c r="L32" s="136">
        <f t="shared" si="2"/>
        <v>302640</v>
      </c>
    </row>
    <row r="33" spans="1:12" x14ac:dyDescent="0.3">
      <c r="A33" s="44" t="s">
        <v>56</v>
      </c>
      <c r="B33" s="20">
        <f>SUM(B21:B22)</f>
        <v>37815</v>
      </c>
      <c r="F33" s="36" t="s">
        <v>36</v>
      </c>
      <c r="G33" s="136">
        <f>SUM(B18:B19)</f>
        <v>60400</v>
      </c>
      <c r="H33" s="136">
        <v>59782</v>
      </c>
      <c r="I33" s="136">
        <v>60635</v>
      </c>
      <c r="J33" s="136">
        <v>57997</v>
      </c>
      <c r="K33" s="136">
        <v>58625</v>
      </c>
      <c r="L33" s="136">
        <f t="shared" si="2"/>
        <v>297439</v>
      </c>
    </row>
    <row r="34" spans="1:12" x14ac:dyDescent="0.3">
      <c r="A34" s="44" t="s">
        <v>57</v>
      </c>
      <c r="B34" s="20">
        <f>SUM(B23:B25)</f>
        <v>22889</v>
      </c>
      <c r="F34" s="36" t="s">
        <v>38</v>
      </c>
      <c r="G34" s="136">
        <f>SUM(B20:B21)</f>
        <v>48190</v>
      </c>
      <c r="H34" s="136">
        <v>47400</v>
      </c>
      <c r="I34" s="136">
        <v>47727</v>
      </c>
      <c r="J34" s="136">
        <v>46773</v>
      </c>
      <c r="K34" s="136">
        <v>45409</v>
      </c>
      <c r="L34" s="136">
        <f t="shared" si="2"/>
        <v>235499</v>
      </c>
    </row>
    <row r="35" spans="1:12" x14ac:dyDescent="0.3">
      <c r="A35" s="8"/>
      <c r="B35" s="20"/>
      <c r="F35" s="139" t="s">
        <v>58</v>
      </c>
      <c r="G35" s="136">
        <f>SUM(B22:B25)</f>
        <v>39836</v>
      </c>
      <c r="H35" s="136">
        <v>37440</v>
      </c>
      <c r="I35" s="136">
        <v>35930</v>
      </c>
      <c r="J35" s="136">
        <v>34236</v>
      </c>
      <c r="K35" s="136">
        <v>33580</v>
      </c>
      <c r="L35" s="136">
        <f t="shared" si="2"/>
        <v>181022</v>
      </c>
    </row>
    <row r="36" spans="1:12" x14ac:dyDescent="0.3">
      <c r="A36" s="15" t="s">
        <v>47</v>
      </c>
      <c r="B36" s="21"/>
    </row>
    <row r="37" spans="1:12" x14ac:dyDescent="0.3">
      <c r="A37" s="9" t="s">
        <v>59</v>
      </c>
      <c r="B37" s="20">
        <f>SUM(B8:B11)</f>
        <v>105969</v>
      </c>
      <c r="F37" s="36" t="s">
        <v>60</v>
      </c>
      <c r="G37" s="36" t="s">
        <v>7</v>
      </c>
      <c r="H37" s="36" t="s">
        <v>8</v>
      </c>
      <c r="I37" s="36" t="s">
        <v>9</v>
      </c>
      <c r="J37" s="36" t="s">
        <v>10</v>
      </c>
      <c r="K37" s="36" t="s">
        <v>11</v>
      </c>
      <c r="L37" s="36" t="s">
        <v>12</v>
      </c>
    </row>
    <row r="38" spans="1:12" x14ac:dyDescent="0.3">
      <c r="A38" s="9" t="s">
        <v>61</v>
      </c>
      <c r="B38" s="20">
        <f>SUM(B12:B16)</f>
        <v>174952</v>
      </c>
      <c r="F38" s="36" t="s">
        <v>46</v>
      </c>
      <c r="G38" s="136">
        <v>23839</v>
      </c>
      <c r="H38" s="40">
        <v>25083</v>
      </c>
      <c r="I38" s="40">
        <v>27277</v>
      </c>
      <c r="J38" s="40">
        <v>28707</v>
      </c>
      <c r="K38" s="40">
        <v>30438</v>
      </c>
      <c r="L38" s="40">
        <f>SUM(G38:K38)</f>
        <v>135344</v>
      </c>
    </row>
    <row r="39" spans="1:12" x14ac:dyDescent="0.3">
      <c r="A39" s="9" t="s">
        <v>62</v>
      </c>
      <c r="B39" s="20">
        <f>SUM(B17:B20)</f>
        <v>116866</v>
      </c>
      <c r="F39" s="36" t="s">
        <v>63</v>
      </c>
      <c r="G39" s="136">
        <v>23956</v>
      </c>
      <c r="H39" s="40">
        <v>24924</v>
      </c>
      <c r="I39" s="40">
        <v>26433</v>
      </c>
      <c r="J39" s="40">
        <v>26747</v>
      </c>
      <c r="K39" s="40">
        <v>28372</v>
      </c>
      <c r="L39" s="40">
        <f t="shared" ref="L39:L55" si="3">SUM(G39:K39)</f>
        <v>130432</v>
      </c>
    </row>
    <row r="40" spans="1:12" x14ac:dyDescent="0.3">
      <c r="A40" s="9" t="s">
        <v>64</v>
      </c>
      <c r="B40" s="20">
        <f>SUM(B21:B24)</f>
        <v>54005</v>
      </c>
      <c r="F40" s="139" t="s">
        <v>50</v>
      </c>
      <c r="G40" s="136">
        <v>27764</v>
      </c>
      <c r="H40" s="40">
        <v>28855</v>
      </c>
      <c r="I40" s="40">
        <v>29675</v>
      </c>
      <c r="J40" s="40">
        <v>29066</v>
      </c>
      <c r="K40" s="40">
        <v>28825</v>
      </c>
      <c r="L40" s="40">
        <f t="shared" si="3"/>
        <v>144185</v>
      </c>
    </row>
    <row r="41" spans="1:12" x14ac:dyDescent="0.3">
      <c r="A41" s="9" t="s">
        <v>65</v>
      </c>
      <c r="B41" s="20">
        <f>SUM(B25)</f>
        <v>6699</v>
      </c>
      <c r="F41" s="36" t="s">
        <v>52</v>
      </c>
      <c r="G41" s="136">
        <v>30410</v>
      </c>
      <c r="H41" s="40">
        <v>30131</v>
      </c>
      <c r="I41" s="40">
        <v>29234</v>
      </c>
      <c r="J41" s="40">
        <v>28824</v>
      </c>
      <c r="K41" s="40">
        <v>29178</v>
      </c>
      <c r="L41" s="40">
        <f t="shared" si="3"/>
        <v>147777</v>
      </c>
    </row>
    <row r="42" spans="1:12" x14ac:dyDescent="0.3">
      <c r="A42" s="9"/>
      <c r="B42" s="20"/>
      <c r="F42" s="36" t="s">
        <v>66</v>
      </c>
      <c r="G42" s="136">
        <v>31782</v>
      </c>
      <c r="H42" s="40">
        <v>34002</v>
      </c>
      <c r="I42" s="40">
        <v>33087</v>
      </c>
      <c r="J42" s="40">
        <v>34228</v>
      </c>
      <c r="K42" s="40">
        <v>35886</v>
      </c>
      <c r="L42" s="40">
        <f t="shared" si="3"/>
        <v>168985</v>
      </c>
    </row>
    <row r="43" spans="1:12" x14ac:dyDescent="0.3">
      <c r="A43" s="35" t="s">
        <v>47</v>
      </c>
      <c r="B43" s="20"/>
      <c r="F43" s="36" t="s">
        <v>67</v>
      </c>
      <c r="G43" s="136">
        <v>37448</v>
      </c>
      <c r="H43" s="40">
        <v>39956</v>
      </c>
      <c r="I43" s="40">
        <v>41470</v>
      </c>
      <c r="J43" s="40">
        <v>42769</v>
      </c>
      <c r="K43" s="40">
        <v>42278</v>
      </c>
      <c r="L43" s="40">
        <f t="shared" si="3"/>
        <v>203921</v>
      </c>
    </row>
    <row r="44" spans="1:12" x14ac:dyDescent="0.3">
      <c r="A44" s="9" t="s">
        <v>68</v>
      </c>
      <c r="B44" s="20">
        <v>93206</v>
      </c>
      <c r="C44" s="67"/>
      <c r="F44" s="36" t="s">
        <v>69</v>
      </c>
      <c r="G44" s="136">
        <v>40513</v>
      </c>
      <c r="H44" s="40">
        <v>39954</v>
      </c>
      <c r="I44" s="40">
        <v>39705</v>
      </c>
      <c r="J44" s="40">
        <v>38309</v>
      </c>
      <c r="K44" s="40">
        <v>39238</v>
      </c>
      <c r="L44" s="40">
        <f t="shared" si="3"/>
        <v>197719</v>
      </c>
    </row>
    <row r="45" spans="1:12" x14ac:dyDescent="0.3">
      <c r="A45" s="9" t="s">
        <v>70</v>
      </c>
      <c r="B45" s="20">
        <v>44545</v>
      </c>
      <c r="F45" s="36" t="s">
        <v>71</v>
      </c>
      <c r="G45" s="136">
        <v>35654</v>
      </c>
      <c r="H45" s="40">
        <v>35136</v>
      </c>
      <c r="I45" s="40">
        <v>34095</v>
      </c>
      <c r="J45" s="40">
        <v>33626</v>
      </c>
      <c r="K45" s="40">
        <v>32732</v>
      </c>
      <c r="L45" s="40">
        <f t="shared" si="3"/>
        <v>171243</v>
      </c>
    </row>
    <row r="46" spans="1:12" x14ac:dyDescent="0.3">
      <c r="A46" s="9" t="s">
        <v>72</v>
      </c>
      <c r="B46" s="20">
        <f>SUM(B13:B15)</f>
        <v>113615</v>
      </c>
      <c r="F46" s="36" t="s">
        <v>73</v>
      </c>
      <c r="G46" s="136">
        <v>29555</v>
      </c>
      <c r="H46" s="40">
        <v>29584</v>
      </c>
      <c r="I46" s="40">
        <v>31387</v>
      </c>
      <c r="J46" s="40">
        <v>30317</v>
      </c>
      <c r="K46" s="40">
        <v>31051</v>
      </c>
      <c r="L46" s="40">
        <f t="shared" si="3"/>
        <v>151894</v>
      </c>
    </row>
    <row r="47" spans="1:12" x14ac:dyDescent="0.3">
      <c r="A47" s="9" t="s">
        <v>74</v>
      </c>
      <c r="B47" s="20">
        <f>SUM(B16:B18)</f>
        <v>88812</v>
      </c>
      <c r="F47" s="36" t="s">
        <v>75</v>
      </c>
      <c r="G47" s="136">
        <v>29144</v>
      </c>
      <c r="H47" s="40">
        <v>30046</v>
      </c>
      <c r="I47" s="40">
        <v>29910</v>
      </c>
      <c r="J47" s="40">
        <v>30482</v>
      </c>
      <c r="K47" s="40">
        <v>31164</v>
      </c>
      <c r="L47" s="40">
        <f t="shared" si="3"/>
        <v>150746</v>
      </c>
    </row>
    <row r="48" spans="1:12" x14ac:dyDescent="0.3">
      <c r="A48" s="9" t="s">
        <v>76</v>
      </c>
      <c r="B48" s="20">
        <f>SUM(B19:B20)</f>
        <v>57609</v>
      </c>
      <c r="F48" s="36" t="s">
        <v>77</v>
      </c>
      <c r="G48" s="136">
        <v>30113</v>
      </c>
      <c r="H48" s="40">
        <v>30050</v>
      </c>
      <c r="I48" s="40">
        <v>30659</v>
      </c>
      <c r="J48" s="40">
        <v>29896</v>
      </c>
      <c r="K48" s="40">
        <v>30921</v>
      </c>
      <c r="L48" s="40">
        <f t="shared" si="3"/>
        <v>151639</v>
      </c>
    </row>
    <row r="49" spans="1:12" x14ac:dyDescent="0.3">
      <c r="A49" s="9" t="s">
        <v>24</v>
      </c>
      <c r="B49" s="20">
        <f>SUM(B21:B25)</f>
        <v>60704</v>
      </c>
      <c r="F49" s="36" t="s">
        <v>78</v>
      </c>
      <c r="G49" s="136">
        <v>30287</v>
      </c>
      <c r="H49" s="40">
        <v>29732</v>
      </c>
      <c r="I49" s="40">
        <v>29976</v>
      </c>
      <c r="J49" s="40">
        <v>28101</v>
      </c>
      <c r="K49" s="40">
        <v>27704</v>
      </c>
      <c r="L49" s="40">
        <f t="shared" si="3"/>
        <v>145800</v>
      </c>
    </row>
    <row r="50" spans="1:12" x14ac:dyDescent="0.3">
      <c r="A50" s="29"/>
      <c r="F50" s="36" t="s">
        <v>79</v>
      </c>
      <c r="G50" s="136">
        <v>27322</v>
      </c>
      <c r="H50" s="40">
        <v>26993</v>
      </c>
      <c r="I50" s="40">
        <v>27655</v>
      </c>
      <c r="J50" s="40">
        <v>26848</v>
      </c>
      <c r="K50" s="40">
        <v>25678</v>
      </c>
      <c r="L50" s="40">
        <f t="shared" si="3"/>
        <v>134496</v>
      </c>
    </row>
    <row r="51" spans="1:12" x14ac:dyDescent="0.3">
      <c r="A51" s="91" t="s">
        <v>80</v>
      </c>
      <c r="B51" s="51" t="s">
        <v>81</v>
      </c>
      <c r="C51" s="52" t="s">
        <v>82</v>
      </c>
      <c r="D51" s="92" t="s">
        <v>83</v>
      </c>
      <c r="F51" s="36" t="s">
        <v>84</v>
      </c>
      <c r="G51" s="136">
        <v>20868</v>
      </c>
      <c r="H51" s="40">
        <v>20407</v>
      </c>
      <c r="I51" s="40">
        <v>20072</v>
      </c>
      <c r="J51" s="40">
        <v>19925</v>
      </c>
      <c r="K51" s="40">
        <v>19731</v>
      </c>
      <c r="L51" s="40">
        <f t="shared" si="3"/>
        <v>101003</v>
      </c>
    </row>
    <row r="52" spans="1:12" x14ac:dyDescent="0.3">
      <c r="A52" s="93" t="s">
        <v>83</v>
      </c>
      <c r="B52" s="94">
        <v>226934</v>
      </c>
      <c r="C52" s="94">
        <v>231557</v>
      </c>
      <c r="D52" s="95">
        <f t="shared" ref="D52:D70" si="4">SUM(B52,C52)</f>
        <v>458491</v>
      </c>
      <c r="F52" s="36" t="s">
        <v>85</v>
      </c>
      <c r="G52" s="136">
        <v>16947</v>
      </c>
      <c r="H52" s="40">
        <v>15849</v>
      </c>
      <c r="I52" s="40">
        <v>15195</v>
      </c>
      <c r="J52" s="40">
        <v>13974</v>
      </c>
      <c r="K52" s="40">
        <v>13137</v>
      </c>
      <c r="L52" s="40">
        <f t="shared" si="3"/>
        <v>75102</v>
      </c>
    </row>
    <row r="53" spans="1:12" x14ac:dyDescent="0.3">
      <c r="A53" s="96" t="s">
        <v>13</v>
      </c>
      <c r="B53" s="94">
        <v>12084</v>
      </c>
      <c r="C53" s="94">
        <v>11755</v>
      </c>
      <c r="D53" s="95">
        <f t="shared" si="4"/>
        <v>23839</v>
      </c>
      <c r="E53" s="40"/>
      <c r="F53" s="36" t="s">
        <v>86</v>
      </c>
      <c r="G53" s="136">
        <v>10326</v>
      </c>
      <c r="H53" s="40">
        <v>9426</v>
      </c>
      <c r="I53" s="40">
        <v>8818</v>
      </c>
      <c r="J53" s="40">
        <v>8153</v>
      </c>
      <c r="K53" s="40">
        <v>8369</v>
      </c>
      <c r="L53" s="40">
        <f t="shared" si="3"/>
        <v>45092</v>
      </c>
    </row>
    <row r="54" spans="1:12" x14ac:dyDescent="0.3">
      <c r="A54" s="96" t="s">
        <v>15</v>
      </c>
      <c r="B54" s="94">
        <v>12397</v>
      </c>
      <c r="C54" s="94">
        <v>11559</v>
      </c>
      <c r="D54" s="95">
        <f t="shared" si="4"/>
        <v>23956</v>
      </c>
      <c r="E54" s="40"/>
      <c r="F54" s="143" t="s">
        <v>87</v>
      </c>
      <c r="G54" s="144">
        <v>5864</v>
      </c>
      <c r="H54" s="40">
        <v>5078</v>
      </c>
      <c r="I54" s="40">
        <v>4845</v>
      </c>
      <c r="J54" s="40">
        <v>4685</v>
      </c>
      <c r="K54" s="40">
        <v>5043</v>
      </c>
      <c r="L54" s="40">
        <f t="shared" si="3"/>
        <v>25515</v>
      </c>
    </row>
    <row r="55" spans="1:12" x14ac:dyDescent="0.3">
      <c r="A55" s="96" t="s">
        <v>17</v>
      </c>
      <c r="B55" s="94">
        <v>15267</v>
      </c>
      <c r="C55" s="94">
        <v>12497</v>
      </c>
      <c r="D55" s="95">
        <f t="shared" si="4"/>
        <v>27764</v>
      </c>
      <c r="F55" s="36" t="s">
        <v>65</v>
      </c>
      <c r="G55" s="136">
        <v>6699</v>
      </c>
      <c r="H55" s="40">
        <v>7087</v>
      </c>
      <c r="I55" s="40">
        <v>7072</v>
      </c>
      <c r="J55" s="40">
        <v>7424</v>
      </c>
      <c r="K55" s="40">
        <v>7031</v>
      </c>
      <c r="L55" s="40">
        <f t="shared" si="3"/>
        <v>35313</v>
      </c>
    </row>
    <row r="56" spans="1:12" x14ac:dyDescent="0.3">
      <c r="A56" s="96" t="s">
        <v>19</v>
      </c>
      <c r="B56" s="94">
        <v>15105</v>
      </c>
      <c r="C56" s="94">
        <v>15305</v>
      </c>
      <c r="D56" s="95">
        <f t="shared" si="4"/>
        <v>30410</v>
      </c>
    </row>
    <row r="57" spans="1:12" x14ac:dyDescent="0.3">
      <c r="A57" s="96" t="s">
        <v>21</v>
      </c>
      <c r="B57" s="94">
        <v>15284</v>
      </c>
      <c r="C57" s="94">
        <v>16498</v>
      </c>
      <c r="D57" s="95">
        <f t="shared" si="4"/>
        <v>31782</v>
      </c>
    </row>
    <row r="58" spans="1:12" x14ac:dyDescent="0.3">
      <c r="A58" s="96" t="s">
        <v>23</v>
      </c>
      <c r="B58" s="94">
        <v>17638</v>
      </c>
      <c r="C58" s="94">
        <v>19810</v>
      </c>
      <c r="D58" s="95">
        <f t="shared" si="4"/>
        <v>37448</v>
      </c>
    </row>
    <row r="59" spans="1:12" x14ac:dyDescent="0.3">
      <c r="A59" s="96" t="s">
        <v>25</v>
      </c>
      <c r="B59" s="94">
        <v>21218</v>
      </c>
      <c r="C59" s="94">
        <v>19295</v>
      </c>
      <c r="D59" s="95">
        <f t="shared" si="4"/>
        <v>40513</v>
      </c>
    </row>
    <row r="60" spans="1:12" x14ac:dyDescent="0.3">
      <c r="A60" s="96" t="s">
        <v>26</v>
      </c>
      <c r="B60" s="94">
        <v>17905</v>
      </c>
      <c r="C60" s="94">
        <v>17749</v>
      </c>
      <c r="D60" s="95">
        <f t="shared" si="4"/>
        <v>35654</v>
      </c>
    </row>
    <row r="61" spans="1:12" x14ac:dyDescent="0.3">
      <c r="A61" s="96" t="s">
        <v>27</v>
      </c>
      <c r="B61" s="94">
        <v>15071</v>
      </c>
      <c r="C61" s="94">
        <v>14484</v>
      </c>
      <c r="D61" s="95">
        <f t="shared" si="4"/>
        <v>29555</v>
      </c>
    </row>
    <row r="62" spans="1:12" x14ac:dyDescent="0.3">
      <c r="A62" s="96" t="s">
        <v>29</v>
      </c>
      <c r="B62" s="94">
        <v>14337</v>
      </c>
      <c r="C62" s="94">
        <v>14807</v>
      </c>
      <c r="D62" s="95">
        <f t="shared" si="4"/>
        <v>29144</v>
      </c>
      <c r="F62" s="40"/>
      <c r="G62" s="40"/>
    </row>
    <row r="63" spans="1:12" x14ac:dyDescent="0.3">
      <c r="A63" s="96" t="s">
        <v>31</v>
      </c>
      <c r="B63" s="94">
        <v>15056</v>
      </c>
      <c r="C63" s="94">
        <v>15057</v>
      </c>
      <c r="D63" s="95">
        <f t="shared" si="4"/>
        <v>30113</v>
      </c>
      <c r="F63" s="40"/>
      <c r="G63" s="40"/>
    </row>
    <row r="64" spans="1:12" x14ac:dyDescent="0.3">
      <c r="A64" s="96" t="s">
        <v>33</v>
      </c>
      <c r="B64" s="94">
        <v>15407</v>
      </c>
      <c r="C64" s="94">
        <v>14880</v>
      </c>
      <c r="D64" s="95">
        <f t="shared" si="4"/>
        <v>30287</v>
      </c>
    </row>
    <row r="65" spans="1:4" x14ac:dyDescent="0.3">
      <c r="A65" s="96" t="s">
        <v>35</v>
      </c>
      <c r="B65" s="94">
        <v>13652</v>
      </c>
      <c r="C65" s="94">
        <v>13670</v>
      </c>
      <c r="D65" s="95">
        <f t="shared" si="4"/>
        <v>27322</v>
      </c>
    </row>
    <row r="66" spans="1:4" x14ac:dyDescent="0.3">
      <c r="A66" s="96" t="s">
        <v>37</v>
      </c>
      <c r="B66" s="94">
        <v>9229</v>
      </c>
      <c r="C66" s="94">
        <v>11639</v>
      </c>
      <c r="D66" s="95">
        <f t="shared" si="4"/>
        <v>20868</v>
      </c>
    </row>
    <row r="67" spans="1:4" x14ac:dyDescent="0.3">
      <c r="A67" s="96" t="s">
        <v>39</v>
      </c>
      <c r="B67" s="94">
        <v>7780</v>
      </c>
      <c r="C67" s="94">
        <v>9167</v>
      </c>
      <c r="D67" s="95">
        <f t="shared" si="4"/>
        <v>16947</v>
      </c>
    </row>
    <row r="68" spans="1:4" x14ac:dyDescent="0.3">
      <c r="A68" s="96" t="s">
        <v>41</v>
      </c>
      <c r="B68" s="94">
        <v>4294</v>
      </c>
      <c r="C68" s="94">
        <v>6032</v>
      </c>
      <c r="D68" s="95">
        <f t="shared" si="4"/>
        <v>10326</v>
      </c>
    </row>
    <row r="69" spans="1:4" x14ac:dyDescent="0.3">
      <c r="A69" s="96" t="s">
        <v>43</v>
      </c>
      <c r="B69" s="94">
        <v>2678</v>
      </c>
      <c r="C69" s="94">
        <v>3186</v>
      </c>
      <c r="D69" s="95">
        <f t="shared" si="4"/>
        <v>5864</v>
      </c>
    </row>
    <row r="70" spans="1:4" x14ac:dyDescent="0.3">
      <c r="A70" s="96" t="s">
        <v>44</v>
      </c>
      <c r="B70" s="94">
        <v>2532</v>
      </c>
      <c r="C70" s="94">
        <v>4167</v>
      </c>
      <c r="D70" s="95">
        <f t="shared" si="4"/>
        <v>6699</v>
      </c>
    </row>
    <row r="71" spans="1:4" x14ac:dyDescent="0.3">
      <c r="A71" s="97"/>
      <c r="B71" s="98"/>
      <c r="C71" s="92"/>
      <c r="D71" s="92"/>
    </row>
    <row r="72" spans="1:4" x14ac:dyDescent="0.3">
      <c r="A72" s="99" t="s">
        <v>47</v>
      </c>
      <c r="B72" s="100" t="s">
        <v>88</v>
      </c>
      <c r="C72" s="101" t="s">
        <v>89</v>
      </c>
      <c r="D72" s="92"/>
    </row>
    <row r="73" spans="1:4" x14ac:dyDescent="0.3">
      <c r="A73" s="102" t="s">
        <v>49</v>
      </c>
      <c r="B73" s="103">
        <f>SUM(B53)</f>
        <v>12084</v>
      </c>
      <c r="C73" s="103">
        <f>SUM(C53)</f>
        <v>11755</v>
      </c>
      <c r="D73" s="95">
        <f>SUM(B73:C73)</f>
        <v>23839</v>
      </c>
    </row>
    <row r="74" spans="1:4" x14ac:dyDescent="0.3">
      <c r="A74" s="104" t="s">
        <v>51</v>
      </c>
      <c r="B74" s="103">
        <f>SUM(B54:B55)</f>
        <v>27664</v>
      </c>
      <c r="C74" s="103">
        <f>SUM(C54:C55)</f>
        <v>24056</v>
      </c>
      <c r="D74" s="95">
        <f t="shared" ref="D74:D80" si="5">SUM(B74:C74)</f>
        <v>51720</v>
      </c>
    </row>
    <row r="75" spans="1:4" x14ac:dyDescent="0.3">
      <c r="A75" s="102" t="s">
        <v>53</v>
      </c>
      <c r="B75" s="103">
        <f>SUM(B56:B57)</f>
        <v>30389</v>
      </c>
      <c r="C75" s="103">
        <f>SUM(C56:C57)</f>
        <v>31803</v>
      </c>
      <c r="D75" s="95">
        <f t="shared" si="5"/>
        <v>62192</v>
      </c>
    </row>
    <row r="76" spans="1:4" x14ac:dyDescent="0.3">
      <c r="A76" s="102" t="s">
        <v>54</v>
      </c>
      <c r="B76" s="103">
        <f>SUM(B58:B61)</f>
        <v>71832</v>
      </c>
      <c r="C76" s="103">
        <f>SUM(C58:C61)</f>
        <v>71338</v>
      </c>
      <c r="D76" s="95">
        <f t="shared" si="5"/>
        <v>143170</v>
      </c>
    </row>
    <row r="77" spans="1:4" x14ac:dyDescent="0.3">
      <c r="A77" s="102" t="s">
        <v>55</v>
      </c>
      <c r="B77" s="103">
        <f>SUM(B62:B65)</f>
        <v>58452</v>
      </c>
      <c r="C77" s="103">
        <f>SUM(C62:C65)</f>
        <v>58414</v>
      </c>
      <c r="D77" s="95">
        <f t="shared" si="5"/>
        <v>116866</v>
      </c>
    </row>
    <row r="78" spans="1:4" x14ac:dyDescent="0.3">
      <c r="A78" s="102" t="s">
        <v>56</v>
      </c>
      <c r="B78" s="103">
        <f>SUM(B66:B67)</f>
        <v>17009</v>
      </c>
      <c r="C78" s="103">
        <f>SUM(C66:C67)</f>
        <v>20806</v>
      </c>
      <c r="D78" s="95">
        <f t="shared" si="5"/>
        <v>37815</v>
      </c>
    </row>
    <row r="79" spans="1:4" x14ac:dyDescent="0.3">
      <c r="A79" s="102" t="s">
        <v>57</v>
      </c>
      <c r="B79" s="103">
        <f>SUM(B68:B70)</f>
        <v>9504</v>
      </c>
      <c r="C79" s="103">
        <f>SUM(C68:C70)</f>
        <v>13385</v>
      </c>
      <c r="D79" s="95">
        <f t="shared" si="5"/>
        <v>22889</v>
      </c>
    </row>
    <row r="80" spans="1:4" x14ac:dyDescent="0.3">
      <c r="A80" s="102" t="s">
        <v>90</v>
      </c>
      <c r="B80" s="103">
        <f>SUM(B73:B79)</f>
        <v>226934</v>
      </c>
      <c r="C80" s="103">
        <f>SUM(C73:C79)</f>
        <v>231557</v>
      </c>
      <c r="D80" s="95">
        <f t="shared" si="5"/>
        <v>458491</v>
      </c>
    </row>
    <row r="81" spans="1:10" x14ac:dyDescent="0.3">
      <c r="A81" s="102"/>
      <c r="B81" s="103"/>
      <c r="C81" s="92"/>
      <c r="D81" s="92"/>
    </row>
    <row r="82" spans="1:10" x14ac:dyDescent="0.3">
      <c r="A82" s="99" t="s">
        <v>47</v>
      </c>
      <c r="B82" s="105"/>
      <c r="C82" s="101"/>
      <c r="D82" s="105" t="s">
        <v>83</v>
      </c>
    </row>
    <row r="83" spans="1:10" x14ac:dyDescent="0.3">
      <c r="A83" s="106" t="s">
        <v>91</v>
      </c>
      <c r="B83" s="145"/>
      <c r="C83" s="92"/>
      <c r="D83" s="145">
        <v>69367</v>
      </c>
    </row>
    <row r="84" spans="1:10" x14ac:dyDescent="0.3">
      <c r="A84" s="107" t="s">
        <v>92</v>
      </c>
      <c r="B84" s="103"/>
      <c r="C84" s="92"/>
      <c r="D84" s="103">
        <f>SUM(D54:E70)</f>
        <v>434652</v>
      </c>
    </row>
    <row r="85" spans="1:10" x14ac:dyDescent="0.3">
      <c r="A85" s="107" t="s">
        <v>93</v>
      </c>
      <c r="B85" s="108"/>
      <c r="C85" s="92"/>
      <c r="D85" s="108">
        <v>365285</v>
      </c>
    </row>
    <row r="86" spans="1:10" x14ac:dyDescent="0.3">
      <c r="A86" s="9"/>
      <c r="B86" s="90"/>
    </row>
    <row r="87" spans="1:10" x14ac:dyDescent="0.3">
      <c r="A87" s="110" t="s">
        <v>94</v>
      </c>
      <c r="B87" s="68"/>
      <c r="C87" s="70"/>
      <c r="D87" s="70"/>
    </row>
    <row r="88" spans="1:10" x14ac:dyDescent="0.3">
      <c r="A88" s="71" t="s">
        <v>95</v>
      </c>
      <c r="B88" s="146">
        <v>199087</v>
      </c>
      <c r="C88" s="73">
        <f>(B88/$B$3)</f>
        <v>0.43422226390485308</v>
      </c>
      <c r="D88" s="70"/>
    </row>
    <row r="89" spans="1:10" x14ac:dyDescent="0.3">
      <c r="A89" s="71" t="s">
        <v>96</v>
      </c>
      <c r="B89" s="88">
        <f>SUM(B90:B96)</f>
        <v>259404</v>
      </c>
      <c r="C89" s="73">
        <f t="shared" ref="C89:C96" si="6">(B89/$B$3)</f>
        <v>0.56577773609514692</v>
      </c>
      <c r="D89" s="70"/>
      <c r="E89" s="130"/>
    </row>
    <row r="90" spans="1:10" x14ac:dyDescent="0.3">
      <c r="A90" s="74" t="s">
        <v>97</v>
      </c>
      <c r="B90" s="88">
        <v>124894</v>
      </c>
      <c r="C90" s="73">
        <f>(B90/$B$3)</f>
        <v>0.27240229361099783</v>
      </c>
      <c r="D90" s="70"/>
      <c r="E90" s="157"/>
    </row>
    <row r="91" spans="1:10" x14ac:dyDescent="0.3">
      <c r="A91" s="74" t="s">
        <v>98</v>
      </c>
      <c r="B91" s="88">
        <v>52644</v>
      </c>
      <c r="C91" s="73">
        <f t="shared" si="6"/>
        <v>0.11482013823608316</v>
      </c>
      <c r="D91" s="70"/>
      <c r="E91" s="19"/>
      <c r="F91">
        <f>(24/B90)*100000</f>
        <v>19.2162954185149</v>
      </c>
    </row>
    <row r="92" spans="1:10" x14ac:dyDescent="0.3">
      <c r="A92" s="87" t="s">
        <v>99</v>
      </c>
      <c r="B92" s="109">
        <v>1116</v>
      </c>
      <c r="C92" s="73">
        <f t="shared" si="6"/>
        <v>2.4340717702201354E-3</v>
      </c>
      <c r="D92" s="70"/>
      <c r="E92" s="19"/>
    </row>
    <row r="93" spans="1:10" x14ac:dyDescent="0.3">
      <c r="A93" s="87" t="s">
        <v>100</v>
      </c>
      <c r="B93" s="109">
        <v>57232</v>
      </c>
      <c r="C93" s="73">
        <f t="shared" si="6"/>
        <v>0.12482687773587704</v>
      </c>
      <c r="D93" s="70"/>
      <c r="E93" s="19"/>
      <c r="J93" t="s">
        <v>101</v>
      </c>
    </row>
    <row r="94" spans="1:10" x14ac:dyDescent="0.3">
      <c r="A94" s="87" t="s">
        <v>102</v>
      </c>
      <c r="B94" s="109">
        <v>2468</v>
      </c>
      <c r="C94" s="73">
        <f t="shared" si="6"/>
        <v>5.3828755635334175E-3</v>
      </c>
      <c r="D94" s="70"/>
      <c r="E94" s="19"/>
    </row>
    <row r="95" spans="1:10" x14ac:dyDescent="0.3">
      <c r="A95" s="87" t="s">
        <v>103</v>
      </c>
      <c r="B95" s="109">
        <v>2282</v>
      </c>
      <c r="C95" s="73">
        <f t="shared" si="6"/>
        <v>4.9771969351633943E-3</v>
      </c>
      <c r="D95" s="70"/>
      <c r="F95" s="40"/>
      <c r="G95" s="40"/>
    </row>
    <row r="96" spans="1:10" x14ac:dyDescent="0.3">
      <c r="A96" s="74" t="s">
        <v>104</v>
      </c>
      <c r="B96" s="88">
        <v>18768</v>
      </c>
      <c r="C96" s="73">
        <f t="shared" si="6"/>
        <v>4.0934282243271954E-2</v>
      </c>
      <c r="D96" s="70"/>
    </row>
    <row r="97" spans="1:4" x14ac:dyDescent="0.3">
      <c r="A97" s="72"/>
      <c r="B97" s="68"/>
      <c r="C97" s="70"/>
      <c r="D97" s="70"/>
    </row>
    <row r="98" spans="1:4" x14ac:dyDescent="0.3">
      <c r="A98" s="72"/>
      <c r="B98" s="111" t="s">
        <v>105</v>
      </c>
      <c r="C98" s="70"/>
      <c r="D98" s="70"/>
    </row>
    <row r="99" spans="1:4" x14ac:dyDescent="0.3">
      <c r="A99" s="86" t="s">
        <v>106</v>
      </c>
      <c r="B99" s="86" t="s">
        <v>83</v>
      </c>
      <c r="C99" s="80" t="s">
        <v>81</v>
      </c>
      <c r="D99" s="80" t="s">
        <v>82</v>
      </c>
    </row>
    <row r="100" spans="1:4" x14ac:dyDescent="0.3">
      <c r="A100" s="75">
        <v>2011</v>
      </c>
      <c r="B100" s="76">
        <v>462197</v>
      </c>
      <c r="C100" s="70"/>
      <c r="D100" s="70"/>
    </row>
    <row r="101" spans="1:4" x14ac:dyDescent="0.3">
      <c r="A101" s="75">
        <v>2012</v>
      </c>
      <c r="B101" s="76">
        <v>463589</v>
      </c>
      <c r="C101" s="70"/>
      <c r="D101" s="70"/>
    </row>
    <row r="102" spans="1:4" x14ac:dyDescent="0.3">
      <c r="A102" s="75">
        <v>2013</v>
      </c>
      <c r="B102" s="76">
        <v>465424</v>
      </c>
      <c r="C102" s="70"/>
      <c r="D102" s="70"/>
    </row>
    <row r="103" spans="1:4" x14ac:dyDescent="0.3">
      <c r="A103" s="75">
        <v>2014</v>
      </c>
      <c r="B103" s="76">
        <v>468594</v>
      </c>
      <c r="C103" s="70"/>
      <c r="D103" s="70"/>
    </row>
    <row r="104" spans="1:4" x14ac:dyDescent="0.3">
      <c r="A104" s="75">
        <v>2015</v>
      </c>
      <c r="B104" s="76">
        <v>470237</v>
      </c>
      <c r="C104" s="70"/>
      <c r="D104" s="70"/>
    </row>
    <row r="105" spans="1:4" x14ac:dyDescent="0.3">
      <c r="A105" s="75">
        <v>2016</v>
      </c>
      <c r="B105" s="76">
        <v>469793</v>
      </c>
      <c r="C105" s="112">
        <v>237871</v>
      </c>
      <c r="D105" s="112">
        <v>231922</v>
      </c>
    </row>
    <row r="106" spans="1:4" x14ac:dyDescent="0.3">
      <c r="A106" s="75">
        <v>2017</v>
      </c>
      <c r="B106" s="76">
        <v>470489</v>
      </c>
      <c r="C106" s="112">
        <v>238354</v>
      </c>
      <c r="D106" s="112">
        <v>232135</v>
      </c>
    </row>
    <row r="107" spans="1:4" x14ac:dyDescent="0.3">
      <c r="A107" s="75">
        <v>2018</v>
      </c>
      <c r="B107" s="76">
        <v>468883</v>
      </c>
      <c r="C107" s="112">
        <v>237725</v>
      </c>
      <c r="D107" s="112">
        <v>231158</v>
      </c>
    </row>
    <row r="108" spans="1:4" x14ac:dyDescent="0.3">
      <c r="A108" s="75">
        <v>2019</v>
      </c>
      <c r="B108" s="76">
        <v>466776</v>
      </c>
      <c r="C108" s="112">
        <v>235898</v>
      </c>
      <c r="D108" s="112">
        <v>230878</v>
      </c>
    </row>
    <row r="109" spans="1:4" x14ac:dyDescent="0.3">
      <c r="A109" s="75">
        <v>2020</v>
      </c>
      <c r="B109" s="69">
        <v>462081</v>
      </c>
      <c r="C109" s="112">
        <v>234449</v>
      </c>
      <c r="D109" s="112">
        <v>227632</v>
      </c>
    </row>
    <row r="110" spans="1:4" x14ac:dyDescent="0.3">
      <c r="A110" s="75">
        <v>2021</v>
      </c>
      <c r="B110" s="69">
        <v>466565</v>
      </c>
      <c r="C110" s="112">
        <v>236806</v>
      </c>
      <c r="D110" s="112">
        <v>229759</v>
      </c>
    </row>
    <row r="111" spans="1:4" x14ac:dyDescent="0.3">
      <c r="A111" s="75">
        <v>2022</v>
      </c>
      <c r="B111" s="88">
        <v>462293</v>
      </c>
      <c r="C111" s="112">
        <v>228674</v>
      </c>
      <c r="D111" s="112">
        <v>233619</v>
      </c>
    </row>
    <row r="112" spans="1:4" x14ac:dyDescent="0.3">
      <c r="A112" s="75">
        <v>2023</v>
      </c>
      <c r="B112" s="88">
        <v>458491</v>
      </c>
      <c r="C112" s="112">
        <v>226934</v>
      </c>
      <c r="D112" s="112">
        <v>231557</v>
      </c>
    </row>
    <row r="114" spans="1:9" x14ac:dyDescent="0.3">
      <c r="A114" s="147" t="s">
        <v>107</v>
      </c>
      <c r="B114" s="21" t="s">
        <v>7</v>
      </c>
      <c r="H114" s="10" t="s">
        <v>108</v>
      </c>
      <c r="I114" s="19">
        <v>39859</v>
      </c>
    </row>
    <row r="115" spans="1:9" x14ac:dyDescent="0.3">
      <c r="A115" s="10">
        <v>90802</v>
      </c>
      <c r="B115" s="19">
        <v>39859</v>
      </c>
      <c r="H115" s="10" t="s">
        <v>109</v>
      </c>
      <c r="I115" s="19">
        <v>31804</v>
      </c>
    </row>
    <row r="116" spans="1:9" x14ac:dyDescent="0.3">
      <c r="A116" s="10">
        <v>90803</v>
      </c>
      <c r="B116" s="19">
        <v>31804</v>
      </c>
      <c r="H116" s="10" t="s">
        <v>110</v>
      </c>
      <c r="I116" s="19">
        <v>38306</v>
      </c>
    </row>
    <row r="117" spans="1:9" x14ac:dyDescent="0.3">
      <c r="A117" s="10">
        <v>90804</v>
      </c>
      <c r="B117" s="19">
        <v>38306</v>
      </c>
      <c r="H117" s="10" t="s">
        <v>111</v>
      </c>
      <c r="I117" s="19">
        <v>94631</v>
      </c>
    </row>
    <row r="118" spans="1:9" x14ac:dyDescent="0.3">
      <c r="A118" s="10">
        <v>90805</v>
      </c>
      <c r="B118" s="19">
        <v>94631</v>
      </c>
      <c r="H118" s="10" t="s">
        <v>112</v>
      </c>
      <c r="I118" s="19">
        <v>39972</v>
      </c>
    </row>
    <row r="119" spans="1:9" x14ac:dyDescent="0.3">
      <c r="A119" s="10">
        <v>90806</v>
      </c>
      <c r="B119" s="19">
        <v>39972</v>
      </c>
      <c r="H119" s="10" t="s">
        <v>113</v>
      </c>
      <c r="I119" s="19">
        <v>33320</v>
      </c>
    </row>
    <row r="120" spans="1:9" x14ac:dyDescent="0.3">
      <c r="A120" s="10">
        <v>90807</v>
      </c>
      <c r="B120" s="19">
        <v>33320</v>
      </c>
      <c r="H120" s="10" t="s">
        <v>114</v>
      </c>
      <c r="I120" s="19">
        <v>39351</v>
      </c>
    </row>
    <row r="121" spans="1:9" x14ac:dyDescent="0.3">
      <c r="A121" s="10">
        <v>90808</v>
      </c>
      <c r="B121" s="19">
        <v>39351</v>
      </c>
      <c r="H121" s="10" t="s">
        <v>115</v>
      </c>
      <c r="I121" s="19">
        <v>35648</v>
      </c>
    </row>
    <row r="122" spans="1:9" x14ac:dyDescent="0.3">
      <c r="A122" s="10">
        <v>90810</v>
      </c>
      <c r="B122" s="19">
        <v>35648</v>
      </c>
      <c r="H122" s="10" t="s">
        <v>116</v>
      </c>
      <c r="I122" s="19">
        <v>51689</v>
      </c>
    </row>
    <row r="123" spans="1:9" x14ac:dyDescent="0.3">
      <c r="A123" s="10">
        <v>90813</v>
      </c>
      <c r="B123" s="19">
        <v>51689</v>
      </c>
      <c r="H123" s="10" t="s">
        <v>117</v>
      </c>
      <c r="I123" s="19">
        <v>20676</v>
      </c>
    </row>
    <row r="124" spans="1:9" x14ac:dyDescent="0.3">
      <c r="A124" s="10">
        <v>90814</v>
      </c>
      <c r="B124" s="19">
        <v>20676</v>
      </c>
      <c r="H124" s="10" t="s">
        <v>118</v>
      </c>
      <c r="I124" s="19">
        <v>43461</v>
      </c>
    </row>
    <row r="125" spans="1:9" x14ac:dyDescent="0.3">
      <c r="A125" s="10">
        <v>90815</v>
      </c>
      <c r="B125" s="19">
        <v>43461</v>
      </c>
    </row>
  </sheetData>
  <mergeCells count="1">
    <mergeCell ref="A1:B1"/>
  </mergeCells>
  <hyperlinks>
    <hyperlink ref="A2" r:id="rId1" xr:uid="{08453C81-F07E-4FE6-A22A-108CFEE4B6C8}"/>
    <hyperlink ref="A43" r:id="rId2" xr:uid="{CA637FA7-F278-428B-B473-D5E8F7005331}"/>
    <hyperlink ref="A51" r:id="rId3" display="2022 5-Year Estimates" xr:uid="{8237AE63-0D5E-4074-8940-F18A0C2B67F7}"/>
    <hyperlink ref="A87" r:id="rId4" xr:uid="{B5B1C493-C34B-4DBF-9EC7-C9B2A5728D79}"/>
    <hyperlink ref="J7" r:id="rId5" xr:uid="{15972B22-0600-40E9-830A-DBE1BAB8B81B}"/>
    <hyperlink ref="K7" r:id="rId6" xr:uid="{76BD5703-605F-4DBB-A17F-1D149548C8D8}"/>
    <hyperlink ref="J15" r:id="rId7" xr:uid="{59EB7B1C-277F-4157-A877-B7CFE3F86B51}"/>
    <hyperlink ref="K15" r:id="rId8" xr:uid="{6E76756D-86D5-4984-8612-E07B05EC0FB9}"/>
    <hyperlink ref="A114" r:id="rId9" xr:uid="{0F2CB031-6A38-44D5-8F7F-FE8614D59164}"/>
  </hyperlinks>
  <pageMargins left="0.7" right="0.7" top="0.75" bottom="0.75" header="0.3" footer="0.3"/>
  <pageSetup orientation="portrait" r:id="rId10"/>
  <ignoredErrors>
    <ignoredError sqref="G18:G23 G30:G35" formulaRange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F7C-6D05-43B8-B891-6FE2D51B9342}">
  <dimension ref="A1:N94"/>
  <sheetViews>
    <sheetView topLeftCell="A8" workbookViewId="0">
      <selection activeCell="A95" sqref="A95"/>
    </sheetView>
  </sheetViews>
  <sheetFormatPr defaultColWidth="9.109375" defaultRowHeight="13.8" x14ac:dyDescent="0.3"/>
  <cols>
    <col min="1" max="1" width="18" style="4" customWidth="1"/>
    <col min="2" max="7" width="18.77734375" style="4" customWidth="1"/>
    <col min="8" max="8" width="12.44140625" style="4" bestFit="1" customWidth="1"/>
    <col min="9" max="9" width="18.6640625" style="4" customWidth="1"/>
    <col min="10" max="10" width="12.6640625" style="4" customWidth="1"/>
    <col min="11" max="16384" width="9.109375" style="1"/>
  </cols>
  <sheetData>
    <row r="1" spans="1:14" hidden="1" x14ac:dyDescent="0.3">
      <c r="A1" s="167" t="s">
        <v>119</v>
      </c>
      <c r="B1" s="167"/>
      <c r="C1" s="167"/>
      <c r="D1" s="167"/>
      <c r="E1" s="167"/>
      <c r="F1" s="167"/>
      <c r="G1" s="167"/>
      <c r="H1" s="167"/>
    </row>
    <row r="2" spans="1:14" hidden="1" x14ac:dyDescent="0.3">
      <c r="A2" s="167"/>
      <c r="B2" s="167"/>
      <c r="C2" s="167"/>
      <c r="D2" s="167"/>
      <c r="E2" s="167"/>
      <c r="F2" s="167"/>
      <c r="G2" s="167"/>
      <c r="H2" s="167"/>
    </row>
    <row r="3" spans="1:14" hidden="1" x14ac:dyDescent="0.3">
      <c r="A3" s="167"/>
      <c r="B3" s="167"/>
      <c r="C3" s="167"/>
      <c r="D3" s="167"/>
      <c r="E3" s="167"/>
      <c r="F3" s="167"/>
      <c r="G3" s="167"/>
      <c r="H3" s="167"/>
    </row>
    <row r="4" spans="1:14" hidden="1" x14ac:dyDescent="0.3">
      <c r="A4" s="167"/>
      <c r="B4" s="167"/>
      <c r="C4" s="167"/>
      <c r="D4" s="167"/>
      <c r="E4" s="167"/>
      <c r="F4" s="167"/>
      <c r="G4" s="167"/>
      <c r="H4" s="167"/>
    </row>
    <row r="5" spans="1:14" hidden="1" x14ac:dyDescent="0.3">
      <c r="A5" s="167"/>
      <c r="B5" s="167"/>
      <c r="C5" s="167"/>
      <c r="D5" s="167"/>
      <c r="E5" s="167"/>
      <c r="F5" s="167"/>
      <c r="G5" s="167"/>
      <c r="H5" s="167"/>
    </row>
    <row r="6" spans="1:14" hidden="1" x14ac:dyDescent="0.3">
      <c r="A6" s="167"/>
      <c r="B6" s="167"/>
      <c r="C6" s="167"/>
      <c r="D6" s="167"/>
      <c r="E6" s="167"/>
      <c r="F6" s="167"/>
      <c r="G6" s="167"/>
      <c r="H6" s="167"/>
    </row>
    <row r="7" spans="1:14" ht="14.4" hidden="1" thickBot="1" x14ac:dyDescent="0.35">
      <c r="A7" s="167"/>
      <c r="B7" s="167"/>
      <c r="C7" s="167"/>
      <c r="D7" s="167"/>
      <c r="E7" s="167"/>
      <c r="F7" s="167"/>
      <c r="G7" s="167"/>
      <c r="H7" s="167"/>
    </row>
    <row r="8" spans="1:14" s="2" customFormat="1" ht="12.75" customHeight="1" x14ac:dyDescent="0.3">
      <c r="A8" s="5" t="s">
        <v>120</v>
      </c>
      <c r="B8" s="37" t="s">
        <v>95</v>
      </c>
      <c r="C8" s="35" t="s">
        <v>121</v>
      </c>
      <c r="D8" s="37" t="s">
        <v>122</v>
      </c>
      <c r="E8" s="37" t="s">
        <v>123</v>
      </c>
      <c r="F8" s="37" t="s">
        <v>124</v>
      </c>
      <c r="G8" s="38" t="s">
        <v>125</v>
      </c>
      <c r="H8" s="16"/>
      <c r="I8" s="168" t="s">
        <v>126</v>
      </c>
      <c r="J8" s="168"/>
      <c r="N8" t="s">
        <v>127</v>
      </c>
    </row>
    <row r="9" spans="1:14" ht="12.75" customHeight="1" x14ac:dyDescent="0.3">
      <c r="A9" s="13" t="s">
        <v>128</v>
      </c>
      <c r="B9" s="3">
        <v>99511</v>
      </c>
      <c r="C9" s="3">
        <v>64835</v>
      </c>
      <c r="D9" s="3">
        <v>27072</v>
      </c>
      <c r="E9" s="3">
        <v>25024</v>
      </c>
      <c r="F9" s="3">
        <v>1589</v>
      </c>
      <c r="G9" s="3">
        <v>3334</v>
      </c>
      <c r="I9" s="6" t="s">
        <v>129</v>
      </c>
      <c r="J9" s="3" t="s">
        <v>130</v>
      </c>
      <c r="N9" s="1">
        <f t="shared" ref="N9:N23" si="0">D9+F9</f>
        <v>28661</v>
      </c>
    </row>
    <row r="10" spans="1:14" ht="12.75" customHeight="1" x14ac:dyDescent="0.3">
      <c r="A10" s="3" t="s">
        <v>13</v>
      </c>
      <c r="B10" s="3">
        <v>6129</v>
      </c>
      <c r="C10" s="3">
        <v>2213</v>
      </c>
      <c r="D10" s="3">
        <v>1436</v>
      </c>
      <c r="E10" s="3">
        <v>1235</v>
      </c>
      <c r="F10" s="3">
        <v>23</v>
      </c>
      <c r="G10" s="3">
        <v>255</v>
      </c>
      <c r="I10" s="6" t="s">
        <v>131</v>
      </c>
      <c r="J10" s="3" t="s">
        <v>132</v>
      </c>
      <c r="N10" s="1">
        <f t="shared" si="0"/>
        <v>1459</v>
      </c>
    </row>
    <row r="11" spans="1:14" ht="12.75" customHeight="1" x14ac:dyDescent="0.3">
      <c r="A11" s="3" t="s">
        <v>15</v>
      </c>
      <c r="B11" s="3">
        <v>7055</v>
      </c>
      <c r="C11" s="3">
        <v>1967</v>
      </c>
      <c r="D11" s="3">
        <v>1172</v>
      </c>
      <c r="E11" s="3">
        <v>1421</v>
      </c>
      <c r="F11" s="3">
        <v>22</v>
      </c>
      <c r="G11" s="3">
        <v>138</v>
      </c>
      <c r="I11" s="6" t="s">
        <v>133</v>
      </c>
      <c r="J11" s="3" t="s">
        <v>134</v>
      </c>
      <c r="N11" s="1">
        <f t="shared" si="0"/>
        <v>1194</v>
      </c>
    </row>
    <row r="12" spans="1:14" ht="12.75" customHeight="1" x14ac:dyDescent="0.3">
      <c r="A12" s="3" t="s">
        <v>17</v>
      </c>
      <c r="B12" s="3">
        <v>8973</v>
      </c>
      <c r="C12" s="3">
        <v>2535</v>
      </c>
      <c r="D12" s="3">
        <v>1321</v>
      </c>
      <c r="E12" s="3">
        <v>1618</v>
      </c>
      <c r="F12" s="3">
        <v>84</v>
      </c>
      <c r="G12" s="3">
        <v>194</v>
      </c>
      <c r="I12" s="6" t="s">
        <v>135</v>
      </c>
      <c r="J12" s="3" t="s">
        <v>136</v>
      </c>
      <c r="L12" s="89"/>
      <c r="M12" s="89"/>
      <c r="N12" s="1">
        <f t="shared" si="0"/>
        <v>1405</v>
      </c>
    </row>
    <row r="13" spans="1:14" ht="12.75" customHeight="1" x14ac:dyDescent="0.3">
      <c r="A13" s="3" t="s">
        <v>137</v>
      </c>
      <c r="B13" s="3">
        <v>4561</v>
      </c>
      <c r="C13" s="3">
        <v>1789</v>
      </c>
      <c r="D13" s="3">
        <v>862</v>
      </c>
      <c r="E13" s="3">
        <v>1321</v>
      </c>
      <c r="F13" s="3">
        <v>49</v>
      </c>
      <c r="G13" s="3">
        <v>146</v>
      </c>
      <c r="I13" s="6" t="s">
        <v>138</v>
      </c>
      <c r="J13" s="3" t="s">
        <v>139</v>
      </c>
      <c r="N13" s="1">
        <f t="shared" si="0"/>
        <v>911</v>
      </c>
    </row>
    <row r="14" spans="1:14" ht="12.75" customHeight="1" x14ac:dyDescent="0.3">
      <c r="A14" s="3" t="s">
        <v>140</v>
      </c>
      <c r="B14" s="3">
        <v>3881</v>
      </c>
      <c r="C14" s="3">
        <v>1073</v>
      </c>
      <c r="D14" s="3">
        <v>644</v>
      </c>
      <c r="E14" s="3">
        <v>428</v>
      </c>
      <c r="F14" s="3">
        <v>14</v>
      </c>
      <c r="G14" s="3">
        <v>76</v>
      </c>
      <c r="I14" s="6" t="s">
        <v>141</v>
      </c>
      <c r="J14" s="6" t="s">
        <v>142</v>
      </c>
      <c r="N14" s="1">
        <f t="shared" si="0"/>
        <v>658</v>
      </c>
    </row>
    <row r="15" spans="1:14" ht="12.75" customHeight="1" x14ac:dyDescent="0.3">
      <c r="A15" s="3" t="s">
        <v>21</v>
      </c>
      <c r="B15" s="3">
        <v>8279</v>
      </c>
      <c r="C15" s="3">
        <v>3238</v>
      </c>
      <c r="D15" s="3">
        <v>1568</v>
      </c>
      <c r="E15" s="3">
        <v>1465</v>
      </c>
      <c r="F15" s="3">
        <v>239</v>
      </c>
      <c r="G15" s="3">
        <v>264</v>
      </c>
      <c r="I15" s="1"/>
      <c r="J15" s="1"/>
      <c r="L15" s="89"/>
      <c r="M15" s="89"/>
      <c r="N15" s="1">
        <f t="shared" si="0"/>
        <v>1807</v>
      </c>
    </row>
    <row r="16" spans="1:14" ht="12.75" customHeight="1" x14ac:dyDescent="0.3">
      <c r="A16" s="3" t="s">
        <v>23</v>
      </c>
      <c r="B16" s="3">
        <v>8729</v>
      </c>
      <c r="C16" s="3">
        <v>3649</v>
      </c>
      <c r="D16" s="3">
        <v>2007</v>
      </c>
      <c r="E16" s="3">
        <v>2295</v>
      </c>
      <c r="F16" s="3">
        <v>60</v>
      </c>
      <c r="G16" s="3">
        <v>391</v>
      </c>
      <c r="I16" s="77"/>
      <c r="J16" s="77"/>
      <c r="K16" s="78"/>
      <c r="N16" s="1">
        <f t="shared" si="0"/>
        <v>2067</v>
      </c>
    </row>
    <row r="17" spans="1:14" ht="12.75" customHeight="1" x14ac:dyDescent="0.3">
      <c r="A17" s="3" t="s">
        <v>25</v>
      </c>
      <c r="B17" s="3">
        <v>9597</v>
      </c>
      <c r="C17" s="3">
        <v>5925</v>
      </c>
      <c r="D17" s="3">
        <v>2067</v>
      </c>
      <c r="E17" s="3">
        <v>2581</v>
      </c>
      <c r="F17" s="3">
        <v>71</v>
      </c>
      <c r="G17" s="3">
        <v>345</v>
      </c>
      <c r="I17" s="169" t="s">
        <v>143</v>
      </c>
      <c r="J17" s="169"/>
      <c r="K17" s="169"/>
      <c r="N17" s="1">
        <f t="shared" si="0"/>
        <v>2138</v>
      </c>
    </row>
    <row r="18" spans="1:14" x14ac:dyDescent="0.3">
      <c r="A18" s="3" t="s">
        <v>144</v>
      </c>
      <c r="B18" s="3">
        <v>15137</v>
      </c>
      <c r="C18" s="3">
        <v>8714</v>
      </c>
      <c r="D18" s="3">
        <v>4353</v>
      </c>
      <c r="E18" s="3">
        <v>3281</v>
      </c>
      <c r="F18" s="3">
        <v>225</v>
      </c>
      <c r="G18" s="3">
        <v>389</v>
      </c>
      <c r="I18" s="77"/>
      <c r="J18" s="77" t="s">
        <v>81</v>
      </c>
      <c r="K18" s="77" t="s">
        <v>82</v>
      </c>
      <c r="N18" s="1">
        <f t="shared" si="0"/>
        <v>4578</v>
      </c>
    </row>
    <row r="19" spans="1:14" ht="12.75" customHeight="1" x14ac:dyDescent="0.3">
      <c r="A19" s="3" t="s">
        <v>145</v>
      </c>
      <c r="B19" s="3">
        <v>12268</v>
      </c>
      <c r="C19" s="3">
        <v>8875</v>
      </c>
      <c r="D19" s="3">
        <v>3829</v>
      </c>
      <c r="E19" s="3">
        <v>3129</v>
      </c>
      <c r="F19" s="3">
        <v>479</v>
      </c>
      <c r="G19" s="3">
        <v>452</v>
      </c>
      <c r="I19" s="77" t="s">
        <v>129</v>
      </c>
      <c r="J19" s="77">
        <f>B9</f>
        <v>99511</v>
      </c>
      <c r="K19" s="77">
        <f>B25</f>
        <v>99576</v>
      </c>
      <c r="N19" s="1">
        <f t="shared" si="0"/>
        <v>4308</v>
      </c>
    </row>
    <row r="20" spans="1:14" ht="12.75" customHeight="1" x14ac:dyDescent="0.3">
      <c r="A20" s="3" t="s">
        <v>146</v>
      </c>
      <c r="B20" s="3">
        <v>9345</v>
      </c>
      <c r="C20" s="3">
        <v>11683</v>
      </c>
      <c r="D20" s="3">
        <v>3562</v>
      </c>
      <c r="E20" s="3">
        <v>3428</v>
      </c>
      <c r="F20" s="3">
        <v>197</v>
      </c>
      <c r="G20" s="3">
        <v>485</v>
      </c>
      <c r="I20" s="77" t="s">
        <v>131</v>
      </c>
      <c r="J20" s="77">
        <f>C9</f>
        <v>64835</v>
      </c>
      <c r="K20" s="77">
        <f>C25</f>
        <v>60059</v>
      </c>
      <c r="N20" s="1">
        <f t="shared" si="0"/>
        <v>3759</v>
      </c>
    </row>
    <row r="21" spans="1:14" x14ac:dyDescent="0.3">
      <c r="A21" s="3" t="s">
        <v>147</v>
      </c>
      <c r="B21" s="3">
        <v>3831</v>
      </c>
      <c r="C21" s="3">
        <v>8117</v>
      </c>
      <c r="D21" s="3">
        <v>2547</v>
      </c>
      <c r="E21" s="3">
        <v>1907</v>
      </c>
      <c r="F21" s="3">
        <v>126</v>
      </c>
      <c r="G21" s="3">
        <v>148</v>
      </c>
      <c r="I21" s="77" t="s">
        <v>133</v>
      </c>
      <c r="J21" s="77">
        <f>D9</f>
        <v>27072</v>
      </c>
      <c r="K21" s="77">
        <f>D25</f>
        <v>31578</v>
      </c>
      <c r="N21" s="1">
        <f t="shared" si="0"/>
        <v>2673</v>
      </c>
    </row>
    <row r="22" spans="1:14" ht="12.75" customHeight="1" x14ac:dyDescent="0.3">
      <c r="A22" s="3" t="s">
        <v>148</v>
      </c>
      <c r="B22" s="3">
        <v>1315</v>
      </c>
      <c r="C22" s="3">
        <v>3774</v>
      </c>
      <c r="D22" s="3">
        <v>1162</v>
      </c>
      <c r="E22" s="3">
        <v>636</v>
      </c>
      <c r="F22" s="3">
        <v>0</v>
      </c>
      <c r="G22" s="3">
        <v>51</v>
      </c>
      <c r="I22" s="77" t="s">
        <v>135</v>
      </c>
      <c r="J22" s="77">
        <f>E9</f>
        <v>25024</v>
      </c>
      <c r="K22" s="77">
        <f>E25</f>
        <v>29695</v>
      </c>
      <c r="N22" s="1">
        <f t="shared" si="0"/>
        <v>1162</v>
      </c>
    </row>
    <row r="23" spans="1:14" ht="12.75" customHeight="1" x14ac:dyDescent="0.3">
      <c r="A23" s="3" t="s">
        <v>44</v>
      </c>
      <c r="B23" s="3">
        <v>411</v>
      </c>
      <c r="C23" s="3">
        <v>1283</v>
      </c>
      <c r="D23" s="3">
        <v>542</v>
      </c>
      <c r="E23" s="3">
        <v>279</v>
      </c>
      <c r="F23" s="3">
        <v>0</v>
      </c>
      <c r="G23" s="3">
        <v>0</v>
      </c>
      <c r="I23" s="77" t="s">
        <v>138</v>
      </c>
      <c r="J23" s="77">
        <f>F9</f>
        <v>1589</v>
      </c>
      <c r="K23" s="77">
        <f>F25</f>
        <v>1093</v>
      </c>
      <c r="N23" s="1">
        <f t="shared" si="0"/>
        <v>542</v>
      </c>
    </row>
    <row r="24" spans="1:14" ht="12.75" customHeight="1" x14ac:dyDescent="0.3">
      <c r="A24" s="159"/>
      <c r="B24" s="159"/>
      <c r="C24" s="159"/>
      <c r="D24" s="159"/>
      <c r="E24" s="158"/>
      <c r="F24" s="159"/>
      <c r="G24" s="159"/>
      <c r="I24" s="77" t="s">
        <v>141</v>
      </c>
      <c r="J24" s="77">
        <f>G9</f>
        <v>3334</v>
      </c>
      <c r="K24" s="77">
        <f>G25</f>
        <v>3068</v>
      </c>
      <c r="N24" s="1">
        <f t="shared" ref="N24:N41" si="1">D24+F24</f>
        <v>0</v>
      </c>
    </row>
    <row r="25" spans="1:14" ht="12.75" customHeight="1" x14ac:dyDescent="0.3">
      <c r="A25" s="13" t="s">
        <v>149</v>
      </c>
      <c r="B25" s="3">
        <v>99576</v>
      </c>
      <c r="C25" s="3">
        <v>60059</v>
      </c>
      <c r="D25" s="3">
        <v>31578</v>
      </c>
      <c r="E25" s="3">
        <v>29695</v>
      </c>
      <c r="F25" s="3">
        <v>1093</v>
      </c>
      <c r="G25" s="3">
        <v>3068</v>
      </c>
      <c r="I25" s="77" t="s">
        <v>150</v>
      </c>
      <c r="J25" s="79">
        <f>SUM(J19:J24)</f>
        <v>221365</v>
      </c>
      <c r="K25" s="79">
        <f>SUM(K19:K24)</f>
        <v>225069</v>
      </c>
      <c r="N25" s="1">
        <f t="shared" si="1"/>
        <v>32671</v>
      </c>
    </row>
    <row r="26" spans="1:14" ht="12.75" customHeight="1" x14ac:dyDescent="0.3">
      <c r="A26" s="3" t="s">
        <v>13</v>
      </c>
      <c r="B26" s="3">
        <v>5875</v>
      </c>
      <c r="C26" s="3">
        <v>2253</v>
      </c>
      <c r="D26" s="3">
        <v>895</v>
      </c>
      <c r="E26" s="3">
        <v>1486</v>
      </c>
      <c r="F26" s="3">
        <v>71</v>
      </c>
      <c r="G26" s="3">
        <v>95</v>
      </c>
      <c r="I26" s="77"/>
      <c r="J26" s="79">
        <f>SUM(J25:K25)</f>
        <v>446434</v>
      </c>
      <c r="K26" s="77"/>
      <c r="N26" s="1">
        <f t="shared" si="1"/>
        <v>966</v>
      </c>
    </row>
    <row r="27" spans="1:14" ht="12.75" customHeight="1" x14ac:dyDescent="0.3">
      <c r="A27" s="3" t="s">
        <v>15</v>
      </c>
      <c r="B27" s="3">
        <v>6294</v>
      </c>
      <c r="C27" s="3">
        <v>1717</v>
      </c>
      <c r="D27" s="3">
        <v>1236</v>
      </c>
      <c r="E27" s="3">
        <v>1590</v>
      </c>
      <c r="F27" s="3">
        <v>26</v>
      </c>
      <c r="G27" s="3">
        <v>152</v>
      </c>
      <c r="I27" s="77"/>
      <c r="J27" s="77"/>
      <c r="K27" s="78"/>
      <c r="N27" s="1">
        <f t="shared" si="1"/>
        <v>1262</v>
      </c>
    </row>
    <row r="28" spans="1:14" ht="12.75" customHeight="1" x14ac:dyDescent="0.3">
      <c r="A28" s="3" t="s">
        <v>17</v>
      </c>
      <c r="B28" s="3">
        <v>7071</v>
      </c>
      <c r="C28" s="3">
        <v>2113</v>
      </c>
      <c r="D28" s="3">
        <v>1344</v>
      </c>
      <c r="E28" s="3">
        <v>1028</v>
      </c>
      <c r="F28" s="3">
        <v>14</v>
      </c>
      <c r="G28" s="3">
        <v>34</v>
      </c>
      <c r="I28" s="77"/>
      <c r="J28" s="77"/>
      <c r="K28" s="78"/>
      <c r="N28" s="1">
        <f t="shared" si="1"/>
        <v>1358</v>
      </c>
    </row>
    <row r="29" spans="1:14" ht="12.75" customHeight="1" x14ac:dyDescent="0.3">
      <c r="A29" s="3" t="s">
        <v>137</v>
      </c>
      <c r="B29" s="3">
        <v>5354</v>
      </c>
      <c r="C29" s="3">
        <v>863</v>
      </c>
      <c r="D29" s="3">
        <v>901</v>
      </c>
      <c r="E29" s="3">
        <v>1343</v>
      </c>
      <c r="F29" s="3">
        <v>36</v>
      </c>
      <c r="G29" s="3">
        <v>36</v>
      </c>
      <c r="I29" s="77"/>
      <c r="J29" s="77"/>
      <c r="K29" s="78"/>
      <c r="N29" s="1">
        <f t="shared" si="1"/>
        <v>937</v>
      </c>
    </row>
    <row r="30" spans="1:14" ht="12.75" customHeight="1" x14ac:dyDescent="0.3">
      <c r="A30" s="3" t="s">
        <v>140</v>
      </c>
      <c r="B30" s="3">
        <v>3383</v>
      </c>
      <c r="C30" s="3">
        <v>1513</v>
      </c>
      <c r="D30" s="3">
        <v>620</v>
      </c>
      <c r="E30" s="3">
        <v>524</v>
      </c>
      <c r="F30" s="3">
        <v>0</v>
      </c>
      <c r="G30" s="3">
        <v>122</v>
      </c>
      <c r="I30" s="77"/>
      <c r="J30" s="77"/>
      <c r="K30" s="78"/>
      <c r="N30" s="1">
        <f t="shared" si="1"/>
        <v>620</v>
      </c>
    </row>
    <row r="31" spans="1:14" ht="12.75" customHeight="1" x14ac:dyDescent="0.3">
      <c r="A31" s="3" t="s">
        <v>21</v>
      </c>
      <c r="B31" s="3">
        <v>9238</v>
      </c>
      <c r="C31" s="3">
        <v>2864</v>
      </c>
      <c r="D31" s="3">
        <v>1776</v>
      </c>
      <c r="E31" s="3">
        <v>1969</v>
      </c>
      <c r="F31" s="3">
        <v>104</v>
      </c>
      <c r="G31" s="3">
        <v>237</v>
      </c>
      <c r="I31" s="77"/>
      <c r="J31" s="77"/>
      <c r="K31" s="78"/>
      <c r="N31" s="1">
        <f t="shared" si="1"/>
        <v>1880</v>
      </c>
    </row>
    <row r="32" spans="1:14" ht="12.75" customHeight="1" x14ac:dyDescent="0.3">
      <c r="A32" s="3" t="s">
        <v>23</v>
      </c>
      <c r="B32" s="3">
        <v>10096</v>
      </c>
      <c r="C32" s="3">
        <v>4396</v>
      </c>
      <c r="D32" s="3">
        <v>2182</v>
      </c>
      <c r="E32" s="3">
        <v>2473</v>
      </c>
      <c r="F32" s="3">
        <v>12</v>
      </c>
      <c r="G32" s="3">
        <v>471</v>
      </c>
      <c r="N32" s="1">
        <f t="shared" si="1"/>
        <v>2194</v>
      </c>
    </row>
    <row r="33" spans="1:14" ht="12.75" customHeight="1" x14ac:dyDescent="0.3">
      <c r="A33" s="3" t="s">
        <v>25</v>
      </c>
      <c r="B33" s="3">
        <v>8360</v>
      </c>
      <c r="C33" s="3">
        <v>4797</v>
      </c>
      <c r="D33" s="3">
        <v>2839</v>
      </c>
      <c r="E33" s="3">
        <v>2620</v>
      </c>
      <c r="F33" s="3">
        <v>111</v>
      </c>
      <c r="G33" s="3">
        <v>348</v>
      </c>
      <c r="N33" s="1">
        <f t="shared" si="1"/>
        <v>2950</v>
      </c>
    </row>
    <row r="34" spans="1:14" ht="12.75" customHeight="1" x14ac:dyDescent="0.3">
      <c r="A34" s="3" t="s">
        <v>144</v>
      </c>
      <c r="B34" s="3">
        <v>13815</v>
      </c>
      <c r="C34" s="3">
        <v>7711</v>
      </c>
      <c r="D34" s="3">
        <v>5225</v>
      </c>
      <c r="E34" s="3">
        <v>3887</v>
      </c>
      <c r="F34" s="3">
        <v>224</v>
      </c>
      <c r="G34" s="3">
        <v>537</v>
      </c>
      <c r="N34" s="1">
        <f t="shared" si="1"/>
        <v>5449</v>
      </c>
    </row>
    <row r="35" spans="1:14" ht="12.75" customHeight="1" x14ac:dyDescent="0.3">
      <c r="A35" s="3" t="s">
        <v>145</v>
      </c>
      <c r="B35" s="3">
        <v>12859</v>
      </c>
      <c r="C35" s="3">
        <v>8155</v>
      </c>
      <c r="D35" s="3">
        <v>3954</v>
      </c>
      <c r="E35" s="3">
        <v>3841</v>
      </c>
      <c r="F35" s="3">
        <v>144</v>
      </c>
      <c r="G35" s="3">
        <v>509</v>
      </c>
      <c r="N35" s="1">
        <f t="shared" si="1"/>
        <v>4098</v>
      </c>
    </row>
    <row r="36" spans="1:14" ht="12.75" customHeight="1" x14ac:dyDescent="0.3">
      <c r="A36" s="3" t="s">
        <v>146</v>
      </c>
      <c r="B36" s="3">
        <v>9928</v>
      </c>
      <c r="C36" s="3">
        <v>8809</v>
      </c>
      <c r="D36" s="3">
        <v>4139</v>
      </c>
      <c r="E36" s="3">
        <v>4521</v>
      </c>
      <c r="F36" s="3">
        <v>160</v>
      </c>
      <c r="G36" s="3">
        <v>256</v>
      </c>
      <c r="N36" s="1">
        <f t="shared" si="1"/>
        <v>4299</v>
      </c>
    </row>
    <row r="37" spans="1:14" ht="12.75" customHeight="1" x14ac:dyDescent="0.3">
      <c r="A37" s="3" t="s">
        <v>147</v>
      </c>
      <c r="B37" s="3">
        <v>4893</v>
      </c>
      <c r="C37" s="3">
        <v>8597</v>
      </c>
      <c r="D37" s="3">
        <v>3705</v>
      </c>
      <c r="E37" s="3">
        <v>2889</v>
      </c>
      <c r="F37" s="3">
        <v>129</v>
      </c>
      <c r="G37" s="3">
        <v>146</v>
      </c>
      <c r="N37" s="1">
        <f t="shared" si="1"/>
        <v>3834</v>
      </c>
    </row>
    <row r="38" spans="1:14" ht="12.75" customHeight="1" x14ac:dyDescent="0.3">
      <c r="A38" s="3" t="s">
        <v>148</v>
      </c>
      <c r="B38" s="3">
        <v>1554</v>
      </c>
      <c r="C38" s="3">
        <v>4348</v>
      </c>
      <c r="D38" s="3">
        <v>1991</v>
      </c>
      <c r="E38" s="3">
        <v>1054</v>
      </c>
      <c r="F38" s="3">
        <v>57</v>
      </c>
      <c r="G38" s="3">
        <v>109</v>
      </c>
      <c r="N38" s="1">
        <f t="shared" si="1"/>
        <v>2048</v>
      </c>
    </row>
    <row r="39" spans="1:14" ht="12.75" customHeight="1" x14ac:dyDescent="0.3">
      <c r="A39" s="3" t="s">
        <v>44</v>
      </c>
      <c r="B39" s="3">
        <v>856</v>
      </c>
      <c r="C39" s="3">
        <v>1923</v>
      </c>
      <c r="D39" s="3">
        <v>771</v>
      </c>
      <c r="E39" s="3">
        <v>470</v>
      </c>
      <c r="F39" s="3">
        <v>5</v>
      </c>
      <c r="G39" s="3">
        <v>16</v>
      </c>
      <c r="N39" s="1">
        <f t="shared" si="1"/>
        <v>776</v>
      </c>
    </row>
    <row r="40" spans="1:14" ht="12.75" customHeight="1" x14ac:dyDescent="0.3">
      <c r="A40" s="3"/>
      <c r="B40" s="3"/>
      <c r="C40" s="3"/>
      <c r="D40" s="3"/>
      <c r="E40" s="3"/>
      <c r="F40" s="3"/>
      <c r="G40" s="3"/>
      <c r="N40" s="1">
        <f t="shared" si="1"/>
        <v>0</v>
      </c>
    </row>
    <row r="41" spans="1:14" ht="12.75" customHeight="1" x14ac:dyDescent="0.3">
      <c r="A41" s="13" t="s">
        <v>151</v>
      </c>
      <c r="B41" s="3">
        <f t="shared" ref="B41:G41" si="2">SUM(B25,B9)</f>
        <v>199087</v>
      </c>
      <c r="C41" s="3">
        <f t="shared" si="2"/>
        <v>124894</v>
      </c>
      <c r="D41" s="3">
        <f t="shared" si="2"/>
        <v>58650</v>
      </c>
      <c r="E41" s="3">
        <f t="shared" si="2"/>
        <v>54719</v>
      </c>
      <c r="F41" s="3">
        <f t="shared" si="2"/>
        <v>2682</v>
      </c>
      <c r="G41" s="3">
        <f t="shared" si="2"/>
        <v>6402</v>
      </c>
      <c r="H41" s="4">
        <f>SUM(B41:G41)</f>
        <v>446434</v>
      </c>
      <c r="N41" s="1">
        <f t="shared" si="1"/>
        <v>61332</v>
      </c>
    </row>
    <row r="42" spans="1:14" ht="12.75" customHeight="1" x14ac:dyDescent="0.3">
      <c r="A42" s="3" t="s">
        <v>13</v>
      </c>
      <c r="B42" s="3">
        <f t="shared" ref="B42:D55" si="3">SUM(B10,B26)</f>
        <v>12004</v>
      </c>
      <c r="C42" s="3">
        <f t="shared" si="3"/>
        <v>4466</v>
      </c>
      <c r="D42" s="3">
        <f t="shared" si="3"/>
        <v>2331</v>
      </c>
      <c r="E42" s="3">
        <f t="shared" ref="E42:E55" si="4">SUM(E26,E10)</f>
        <v>2721</v>
      </c>
      <c r="F42" s="3">
        <f t="shared" ref="F42:G55" si="5">SUM(F10,F26)</f>
        <v>94</v>
      </c>
      <c r="G42" s="3">
        <f t="shared" si="5"/>
        <v>350</v>
      </c>
      <c r="N42" s="1">
        <f t="shared" ref="N42:N94" si="6">D42+F42</f>
        <v>2425</v>
      </c>
    </row>
    <row r="43" spans="1:14" ht="12.75" customHeight="1" x14ac:dyDescent="0.3">
      <c r="A43" s="3" t="s">
        <v>15</v>
      </c>
      <c r="B43" s="3">
        <f t="shared" si="3"/>
        <v>13349</v>
      </c>
      <c r="C43" s="3">
        <f t="shared" si="3"/>
        <v>3684</v>
      </c>
      <c r="D43" s="3">
        <f t="shared" si="3"/>
        <v>2408</v>
      </c>
      <c r="E43" s="3">
        <f t="shared" si="4"/>
        <v>3011</v>
      </c>
      <c r="F43" s="3">
        <f t="shared" si="5"/>
        <v>48</v>
      </c>
      <c r="G43" s="3">
        <f t="shared" si="5"/>
        <v>290</v>
      </c>
      <c r="N43" s="1">
        <f t="shared" si="6"/>
        <v>2456</v>
      </c>
    </row>
    <row r="44" spans="1:14" ht="12.75" customHeight="1" x14ac:dyDescent="0.3">
      <c r="A44" s="3" t="s">
        <v>17</v>
      </c>
      <c r="B44" s="3">
        <f t="shared" si="3"/>
        <v>16044</v>
      </c>
      <c r="C44" s="3">
        <f t="shared" si="3"/>
        <v>4648</v>
      </c>
      <c r="D44" s="3">
        <f t="shared" si="3"/>
        <v>2665</v>
      </c>
      <c r="E44" s="3">
        <f t="shared" si="4"/>
        <v>2646</v>
      </c>
      <c r="F44" s="3">
        <f t="shared" si="5"/>
        <v>98</v>
      </c>
      <c r="G44" s="3">
        <f t="shared" si="5"/>
        <v>228</v>
      </c>
      <c r="N44" s="1">
        <f t="shared" si="6"/>
        <v>2763</v>
      </c>
    </row>
    <row r="45" spans="1:14" ht="12.75" customHeight="1" x14ac:dyDescent="0.3">
      <c r="A45" s="3" t="s">
        <v>137</v>
      </c>
      <c r="B45" s="3">
        <f t="shared" si="3"/>
        <v>9915</v>
      </c>
      <c r="C45" s="3">
        <f t="shared" si="3"/>
        <v>2652</v>
      </c>
      <c r="D45" s="3">
        <f t="shared" si="3"/>
        <v>1763</v>
      </c>
      <c r="E45" s="3">
        <f t="shared" si="4"/>
        <v>2664</v>
      </c>
      <c r="F45" s="3">
        <f t="shared" si="5"/>
        <v>85</v>
      </c>
      <c r="G45" s="3">
        <f t="shared" si="5"/>
        <v>182</v>
      </c>
      <c r="N45" s="1">
        <f t="shared" si="6"/>
        <v>1848</v>
      </c>
    </row>
    <row r="46" spans="1:14" ht="12.75" customHeight="1" x14ac:dyDescent="0.3">
      <c r="A46" s="3" t="s">
        <v>140</v>
      </c>
      <c r="B46" s="3">
        <f t="shared" si="3"/>
        <v>7264</v>
      </c>
      <c r="C46" s="3">
        <f t="shared" si="3"/>
        <v>2586</v>
      </c>
      <c r="D46" s="3">
        <f t="shared" si="3"/>
        <v>1264</v>
      </c>
      <c r="E46" s="3">
        <f t="shared" si="4"/>
        <v>952</v>
      </c>
      <c r="F46" s="3">
        <f t="shared" si="5"/>
        <v>14</v>
      </c>
      <c r="G46" s="3">
        <f t="shared" si="5"/>
        <v>198</v>
      </c>
      <c r="N46" s="1">
        <f t="shared" si="6"/>
        <v>1278</v>
      </c>
    </row>
    <row r="47" spans="1:14" ht="12.75" customHeight="1" x14ac:dyDescent="0.3">
      <c r="A47" s="3" t="s">
        <v>21</v>
      </c>
      <c r="B47" s="3">
        <f t="shared" si="3"/>
        <v>17517</v>
      </c>
      <c r="C47" s="3">
        <f t="shared" si="3"/>
        <v>6102</v>
      </c>
      <c r="D47" s="3">
        <f t="shared" si="3"/>
        <v>3344</v>
      </c>
      <c r="E47" s="3">
        <f t="shared" si="4"/>
        <v>3434</v>
      </c>
      <c r="F47" s="3">
        <f t="shared" si="5"/>
        <v>343</v>
      </c>
      <c r="G47" s="3">
        <f t="shared" si="5"/>
        <v>501</v>
      </c>
      <c r="N47" s="1">
        <f t="shared" si="6"/>
        <v>3687</v>
      </c>
    </row>
    <row r="48" spans="1:14" ht="12.75" customHeight="1" x14ac:dyDescent="0.3">
      <c r="A48" s="3" t="s">
        <v>23</v>
      </c>
      <c r="B48" s="3">
        <f t="shared" si="3"/>
        <v>18825</v>
      </c>
      <c r="C48" s="3">
        <f t="shared" si="3"/>
        <v>8045</v>
      </c>
      <c r="D48" s="3">
        <f t="shared" si="3"/>
        <v>4189</v>
      </c>
      <c r="E48" s="3">
        <f t="shared" si="4"/>
        <v>4768</v>
      </c>
      <c r="F48" s="3">
        <f t="shared" si="5"/>
        <v>72</v>
      </c>
      <c r="G48" s="3">
        <f t="shared" si="5"/>
        <v>862</v>
      </c>
      <c r="N48" s="1">
        <f t="shared" si="6"/>
        <v>4261</v>
      </c>
    </row>
    <row r="49" spans="1:14" ht="12.75" customHeight="1" x14ac:dyDescent="0.3">
      <c r="A49" s="3" t="s">
        <v>25</v>
      </c>
      <c r="B49" s="3">
        <f t="shared" si="3"/>
        <v>17957</v>
      </c>
      <c r="C49" s="3">
        <f t="shared" si="3"/>
        <v>10722</v>
      </c>
      <c r="D49" s="3">
        <f t="shared" si="3"/>
        <v>4906</v>
      </c>
      <c r="E49" s="3">
        <f t="shared" si="4"/>
        <v>5201</v>
      </c>
      <c r="F49" s="3">
        <f t="shared" si="5"/>
        <v>182</v>
      </c>
      <c r="G49" s="3">
        <f t="shared" si="5"/>
        <v>693</v>
      </c>
      <c r="N49" s="1">
        <f t="shared" si="6"/>
        <v>5088</v>
      </c>
    </row>
    <row r="50" spans="1:14" ht="12.75" customHeight="1" x14ac:dyDescent="0.3">
      <c r="A50" s="3" t="s">
        <v>144</v>
      </c>
      <c r="B50" s="3">
        <f t="shared" si="3"/>
        <v>28952</v>
      </c>
      <c r="C50" s="3">
        <f t="shared" si="3"/>
        <v>16425</v>
      </c>
      <c r="D50" s="3">
        <f t="shared" si="3"/>
        <v>9578</v>
      </c>
      <c r="E50" s="3">
        <f t="shared" si="4"/>
        <v>7168</v>
      </c>
      <c r="F50" s="3">
        <f t="shared" si="5"/>
        <v>449</v>
      </c>
      <c r="G50" s="3">
        <f t="shared" si="5"/>
        <v>926</v>
      </c>
      <c r="N50" s="1">
        <f t="shared" si="6"/>
        <v>10027</v>
      </c>
    </row>
    <row r="51" spans="1:14" ht="12.75" customHeight="1" x14ac:dyDescent="0.3">
      <c r="A51" s="3" t="s">
        <v>145</v>
      </c>
      <c r="B51" s="3">
        <f t="shared" si="3"/>
        <v>25127</v>
      </c>
      <c r="C51" s="3">
        <f t="shared" si="3"/>
        <v>17030</v>
      </c>
      <c r="D51" s="3">
        <f t="shared" si="3"/>
        <v>7783</v>
      </c>
      <c r="E51" s="3">
        <f t="shared" si="4"/>
        <v>6970</v>
      </c>
      <c r="F51" s="3">
        <f t="shared" si="5"/>
        <v>623</v>
      </c>
      <c r="G51" s="3">
        <f t="shared" si="5"/>
        <v>961</v>
      </c>
      <c r="N51" s="1">
        <f t="shared" si="6"/>
        <v>8406</v>
      </c>
    </row>
    <row r="52" spans="1:14" ht="12.75" customHeight="1" x14ac:dyDescent="0.3">
      <c r="A52" s="3" t="s">
        <v>146</v>
      </c>
      <c r="B52" s="3">
        <f t="shared" si="3"/>
        <v>19273</v>
      </c>
      <c r="C52" s="3">
        <f t="shared" si="3"/>
        <v>20492</v>
      </c>
      <c r="D52" s="3">
        <f t="shared" si="3"/>
        <v>7701</v>
      </c>
      <c r="E52" s="3">
        <f t="shared" si="4"/>
        <v>7949</v>
      </c>
      <c r="F52" s="3">
        <f t="shared" si="5"/>
        <v>357</v>
      </c>
      <c r="G52" s="3">
        <f t="shared" si="5"/>
        <v>741</v>
      </c>
      <c r="N52" s="1">
        <f t="shared" si="6"/>
        <v>8058</v>
      </c>
    </row>
    <row r="53" spans="1:14" ht="12.75" customHeight="1" x14ac:dyDescent="0.3">
      <c r="A53" s="3" t="s">
        <v>147</v>
      </c>
      <c r="B53" s="3">
        <f t="shared" si="3"/>
        <v>8724</v>
      </c>
      <c r="C53" s="3">
        <f t="shared" si="3"/>
        <v>16714</v>
      </c>
      <c r="D53" s="3">
        <f t="shared" si="3"/>
        <v>6252</v>
      </c>
      <c r="E53" s="3">
        <f t="shared" si="4"/>
        <v>4796</v>
      </c>
      <c r="F53" s="3">
        <f t="shared" si="5"/>
        <v>255</v>
      </c>
      <c r="G53" s="3">
        <f t="shared" si="5"/>
        <v>294</v>
      </c>
      <c r="N53" s="1">
        <f t="shared" si="6"/>
        <v>6507</v>
      </c>
    </row>
    <row r="54" spans="1:14" ht="12.75" customHeight="1" x14ac:dyDescent="0.3">
      <c r="A54" s="3" t="s">
        <v>148</v>
      </c>
      <c r="B54" s="3">
        <f t="shared" si="3"/>
        <v>2869</v>
      </c>
      <c r="C54" s="3">
        <f t="shared" si="3"/>
        <v>8122</v>
      </c>
      <c r="D54" s="3">
        <f t="shared" si="3"/>
        <v>3153</v>
      </c>
      <c r="E54" s="3">
        <f t="shared" si="4"/>
        <v>1690</v>
      </c>
      <c r="F54" s="3">
        <f t="shared" si="5"/>
        <v>57</v>
      </c>
      <c r="G54" s="3">
        <f t="shared" si="5"/>
        <v>160</v>
      </c>
      <c r="N54" s="1">
        <f t="shared" si="6"/>
        <v>3210</v>
      </c>
    </row>
    <row r="55" spans="1:14" ht="12.75" customHeight="1" x14ac:dyDescent="0.3">
      <c r="A55" s="3" t="s">
        <v>44</v>
      </c>
      <c r="B55" s="3">
        <f t="shared" si="3"/>
        <v>1267</v>
      </c>
      <c r="C55" s="3">
        <f t="shared" si="3"/>
        <v>3206</v>
      </c>
      <c r="D55" s="3">
        <f t="shared" si="3"/>
        <v>1313</v>
      </c>
      <c r="E55" s="3">
        <f t="shared" si="4"/>
        <v>749</v>
      </c>
      <c r="F55" s="3">
        <f t="shared" si="5"/>
        <v>5</v>
      </c>
      <c r="G55" s="3">
        <f t="shared" si="5"/>
        <v>16</v>
      </c>
      <c r="N55" s="1">
        <f t="shared" si="6"/>
        <v>1318</v>
      </c>
    </row>
    <row r="56" spans="1:14" ht="12.75" customHeight="1" x14ac:dyDescent="0.3">
      <c r="A56" s="13" t="s">
        <v>152</v>
      </c>
      <c r="B56" s="13">
        <f>SUM(B42:B55)</f>
        <v>199087</v>
      </c>
      <c r="C56" s="13">
        <f t="shared" ref="C56:G56" si="7">SUM(C42:C55)</f>
        <v>124894</v>
      </c>
      <c r="D56" s="13">
        <f t="shared" si="7"/>
        <v>58650</v>
      </c>
      <c r="E56" s="13">
        <f t="shared" si="7"/>
        <v>54719</v>
      </c>
      <c r="F56" s="13">
        <f t="shared" si="7"/>
        <v>2682</v>
      </c>
      <c r="G56" s="13">
        <f t="shared" si="7"/>
        <v>6402</v>
      </c>
      <c r="N56" s="1">
        <f t="shared" si="6"/>
        <v>61332</v>
      </c>
    </row>
    <row r="57" spans="1:14" ht="12.75" customHeight="1" x14ac:dyDescent="0.3">
      <c r="A57" s="3"/>
      <c r="B57" s="3"/>
      <c r="C57" s="3"/>
      <c r="D57" s="3"/>
      <c r="E57" s="3"/>
      <c r="F57" s="3"/>
      <c r="G57" s="3"/>
      <c r="N57" s="1">
        <f t="shared" si="6"/>
        <v>0</v>
      </c>
    </row>
    <row r="58" spans="1:14" ht="22.5" customHeight="1" x14ac:dyDescent="0.3">
      <c r="A58" s="64" t="s">
        <v>153</v>
      </c>
      <c r="B58" s="3"/>
      <c r="C58" s="3"/>
      <c r="D58" s="3"/>
      <c r="E58" s="3"/>
      <c r="F58" s="3"/>
      <c r="G58" s="3"/>
      <c r="N58" s="1">
        <f t="shared" si="6"/>
        <v>0</v>
      </c>
    </row>
    <row r="59" spans="1:14" ht="12.75" customHeight="1" x14ac:dyDescent="0.3">
      <c r="A59" s="23" t="s">
        <v>154</v>
      </c>
      <c r="B59" s="3">
        <f>SUM(B42:B45)</f>
        <v>51312</v>
      </c>
      <c r="C59" s="3">
        <f t="shared" ref="C59:G59" si="8">SUM(C42:C45)</f>
        <v>15450</v>
      </c>
      <c r="D59" s="3">
        <f t="shared" si="8"/>
        <v>9167</v>
      </c>
      <c r="E59" s="3">
        <f t="shared" si="8"/>
        <v>11042</v>
      </c>
      <c r="F59" s="3">
        <f t="shared" si="8"/>
        <v>325</v>
      </c>
      <c r="G59" s="3">
        <f t="shared" si="8"/>
        <v>1050</v>
      </c>
      <c r="N59" s="1">
        <f t="shared" si="6"/>
        <v>9492</v>
      </c>
    </row>
    <row r="60" spans="1:14" ht="12.75" customHeight="1" x14ac:dyDescent="0.3">
      <c r="A60" s="23" t="s">
        <v>155</v>
      </c>
      <c r="B60" s="3">
        <f>SUM(B47:B50)</f>
        <v>83251</v>
      </c>
      <c r="C60" s="3">
        <f t="shared" ref="C60:G60" si="9">SUM(C47:C50)</f>
        <v>41294</v>
      </c>
      <c r="D60" s="3">
        <f t="shared" si="9"/>
        <v>22017</v>
      </c>
      <c r="E60" s="3">
        <f t="shared" si="9"/>
        <v>20571</v>
      </c>
      <c r="F60" s="3">
        <f t="shared" si="9"/>
        <v>1046</v>
      </c>
      <c r="G60" s="3">
        <f t="shared" si="9"/>
        <v>2982</v>
      </c>
      <c r="N60" s="1">
        <f t="shared" si="6"/>
        <v>23063</v>
      </c>
    </row>
    <row r="61" spans="1:14" ht="12.75" customHeight="1" x14ac:dyDescent="0.3">
      <c r="A61" s="23" t="s">
        <v>156</v>
      </c>
      <c r="B61" s="3">
        <f>SUM(B51:B52)</f>
        <v>44400</v>
      </c>
      <c r="C61" s="3">
        <f t="shared" ref="C61:G61" si="10">SUM(C51:C52)</f>
        <v>37522</v>
      </c>
      <c r="D61" s="3">
        <f t="shared" si="10"/>
        <v>15484</v>
      </c>
      <c r="E61" s="3">
        <f t="shared" si="10"/>
        <v>14919</v>
      </c>
      <c r="F61" s="3">
        <f t="shared" si="10"/>
        <v>980</v>
      </c>
      <c r="G61" s="3">
        <f t="shared" si="10"/>
        <v>1702</v>
      </c>
      <c r="N61" s="1">
        <f t="shared" si="6"/>
        <v>16464</v>
      </c>
    </row>
    <row r="62" spans="1:14" ht="12.75" customHeight="1" x14ac:dyDescent="0.3">
      <c r="A62" s="23" t="s">
        <v>157</v>
      </c>
      <c r="B62" s="3">
        <f>SUM(B53:B54)</f>
        <v>11593</v>
      </c>
      <c r="C62" s="3">
        <f t="shared" ref="C62:G62" si="11">SUM(C53:C54)</f>
        <v>24836</v>
      </c>
      <c r="D62" s="3">
        <f t="shared" si="11"/>
        <v>9405</v>
      </c>
      <c r="E62" s="3">
        <f t="shared" si="11"/>
        <v>6486</v>
      </c>
      <c r="F62" s="3">
        <f t="shared" si="11"/>
        <v>312</v>
      </c>
      <c r="G62" s="3">
        <f t="shared" si="11"/>
        <v>454</v>
      </c>
      <c r="N62" s="1">
        <f t="shared" si="6"/>
        <v>9717</v>
      </c>
    </row>
    <row r="63" spans="1:14" ht="12.75" customHeight="1" x14ac:dyDescent="0.3">
      <c r="A63" s="23" t="s">
        <v>158</v>
      </c>
      <c r="B63" s="3">
        <f>SUM(B55)</f>
        <v>1267</v>
      </c>
      <c r="C63" s="3">
        <f t="shared" ref="C63:G63" si="12">SUM(C55)</f>
        <v>3206</v>
      </c>
      <c r="D63" s="3">
        <f t="shared" si="12"/>
        <v>1313</v>
      </c>
      <c r="E63" s="3">
        <f t="shared" si="12"/>
        <v>749</v>
      </c>
      <c r="F63" s="3">
        <f t="shared" si="12"/>
        <v>5</v>
      </c>
      <c r="G63" s="3">
        <f t="shared" si="12"/>
        <v>16</v>
      </c>
      <c r="N63" s="1">
        <f t="shared" si="6"/>
        <v>1318</v>
      </c>
    </row>
    <row r="64" spans="1:14" ht="12.75" customHeight="1" x14ac:dyDescent="0.3">
      <c r="A64" s="13" t="s">
        <v>152</v>
      </c>
      <c r="B64" s="13">
        <f>SUM(B59:B63)</f>
        <v>191823</v>
      </c>
      <c r="C64" s="13">
        <f t="shared" ref="C64:G64" si="13">SUM(C59:C63)</f>
        <v>122308</v>
      </c>
      <c r="D64" s="13">
        <f t="shared" si="13"/>
        <v>57386</v>
      </c>
      <c r="E64" s="13">
        <f t="shared" si="13"/>
        <v>53767</v>
      </c>
      <c r="F64" s="13">
        <f t="shared" si="13"/>
        <v>2668</v>
      </c>
      <c r="G64" s="13">
        <f t="shared" si="13"/>
        <v>6204</v>
      </c>
      <c r="N64" s="1">
        <f t="shared" si="6"/>
        <v>60054</v>
      </c>
    </row>
    <row r="65" spans="1:14" ht="12.75" customHeight="1" x14ac:dyDescent="0.3">
      <c r="A65" s="3"/>
      <c r="B65" s="3"/>
      <c r="C65" s="3"/>
      <c r="D65" s="3"/>
      <c r="E65" s="3"/>
      <c r="F65" s="3"/>
      <c r="G65" s="3"/>
      <c r="N65" s="1">
        <f t="shared" si="6"/>
        <v>0</v>
      </c>
    </row>
    <row r="66" spans="1:14" ht="12.75" customHeight="1" x14ac:dyDescent="0.3">
      <c r="A66" s="64" t="s">
        <v>153</v>
      </c>
      <c r="B66" s="3"/>
      <c r="C66" s="3"/>
      <c r="D66" s="3"/>
      <c r="E66" s="3"/>
      <c r="F66" s="3"/>
      <c r="G66" s="3"/>
      <c r="N66" s="1">
        <f t="shared" si="6"/>
        <v>0</v>
      </c>
    </row>
    <row r="67" spans="1:14" ht="12.75" customHeight="1" x14ac:dyDescent="0.3">
      <c r="A67" s="44" t="s">
        <v>49</v>
      </c>
      <c r="B67" s="3">
        <f>SUM(B42)</f>
        <v>12004</v>
      </c>
      <c r="C67" s="3">
        <f t="shared" ref="C67:G67" si="14">SUM(C42)</f>
        <v>4466</v>
      </c>
      <c r="D67" s="3">
        <f t="shared" si="14"/>
        <v>2331</v>
      </c>
      <c r="E67" s="3">
        <f t="shared" si="14"/>
        <v>2721</v>
      </c>
      <c r="F67" s="3">
        <f t="shared" si="14"/>
        <v>94</v>
      </c>
      <c r="G67" s="3">
        <f t="shared" si="14"/>
        <v>350</v>
      </c>
      <c r="N67" s="1">
        <f t="shared" si="6"/>
        <v>2425</v>
      </c>
    </row>
    <row r="68" spans="1:14" ht="12.75" customHeight="1" x14ac:dyDescent="0.3">
      <c r="A68" s="53" t="s">
        <v>51</v>
      </c>
      <c r="B68" s="3">
        <f>SUM(B43:B44)</f>
        <v>29393</v>
      </c>
      <c r="C68" s="3">
        <f t="shared" ref="C68:G68" si="15">SUM(C43:C44)</f>
        <v>8332</v>
      </c>
      <c r="D68" s="3">
        <f t="shared" si="15"/>
        <v>5073</v>
      </c>
      <c r="E68" s="3">
        <f t="shared" si="15"/>
        <v>5657</v>
      </c>
      <c r="F68" s="3">
        <f t="shared" si="15"/>
        <v>146</v>
      </c>
      <c r="G68" s="3">
        <f t="shared" si="15"/>
        <v>518</v>
      </c>
      <c r="N68" s="1">
        <f t="shared" si="6"/>
        <v>5219</v>
      </c>
    </row>
    <row r="69" spans="1:14" ht="12.75" customHeight="1" x14ac:dyDescent="0.3">
      <c r="A69" s="44" t="s">
        <v>53</v>
      </c>
      <c r="B69" s="3">
        <f>SUM(B45:B47)</f>
        <v>34696</v>
      </c>
      <c r="C69" s="3">
        <f t="shared" ref="C69:G69" si="16">SUM(C45:C47)</f>
        <v>11340</v>
      </c>
      <c r="D69" s="3">
        <f t="shared" si="16"/>
        <v>6371</v>
      </c>
      <c r="E69" s="3">
        <f t="shared" si="16"/>
        <v>7050</v>
      </c>
      <c r="F69" s="3">
        <f t="shared" si="16"/>
        <v>442</v>
      </c>
      <c r="G69" s="3">
        <f t="shared" si="16"/>
        <v>881</v>
      </c>
      <c r="N69" s="1">
        <f t="shared" si="6"/>
        <v>6813</v>
      </c>
    </row>
    <row r="70" spans="1:14" ht="12.75" customHeight="1" x14ac:dyDescent="0.3">
      <c r="A70" s="44" t="s">
        <v>54</v>
      </c>
      <c r="B70" s="3">
        <f>SUM(B48:B50)</f>
        <v>65734</v>
      </c>
      <c r="C70" s="3">
        <f t="shared" ref="C70:G70" si="17">SUM(C48:C50)</f>
        <v>35192</v>
      </c>
      <c r="D70" s="3">
        <f t="shared" si="17"/>
        <v>18673</v>
      </c>
      <c r="E70" s="3">
        <f t="shared" si="17"/>
        <v>17137</v>
      </c>
      <c r="F70" s="3">
        <f t="shared" si="17"/>
        <v>703</v>
      </c>
      <c r="G70" s="3">
        <f t="shared" si="17"/>
        <v>2481</v>
      </c>
      <c r="N70" s="1">
        <f t="shared" si="6"/>
        <v>19376</v>
      </c>
    </row>
    <row r="71" spans="1:14" ht="12.75" customHeight="1" x14ac:dyDescent="0.3">
      <c r="A71" s="44" t="s">
        <v>55</v>
      </c>
      <c r="B71" s="3">
        <f>SUM(B51:B52)</f>
        <v>44400</v>
      </c>
      <c r="C71" s="3">
        <f t="shared" ref="C71:G71" si="18">SUM(C51:C52)</f>
        <v>37522</v>
      </c>
      <c r="D71" s="3">
        <f t="shared" si="18"/>
        <v>15484</v>
      </c>
      <c r="E71" s="3">
        <f t="shared" si="18"/>
        <v>14919</v>
      </c>
      <c r="F71" s="3">
        <f t="shared" si="18"/>
        <v>980</v>
      </c>
      <c r="G71" s="3">
        <f t="shared" si="18"/>
        <v>1702</v>
      </c>
      <c r="N71" s="1">
        <f t="shared" si="6"/>
        <v>16464</v>
      </c>
    </row>
    <row r="72" spans="1:14" ht="12.75" customHeight="1" x14ac:dyDescent="0.3">
      <c r="A72" s="44" t="s">
        <v>56</v>
      </c>
      <c r="B72" s="3">
        <f>SUM(B53)</f>
        <v>8724</v>
      </c>
      <c r="C72" s="3">
        <f t="shared" ref="C72:G72" si="19">SUM(C53)</f>
        <v>16714</v>
      </c>
      <c r="D72" s="3">
        <f t="shared" si="19"/>
        <v>6252</v>
      </c>
      <c r="E72" s="3">
        <f t="shared" si="19"/>
        <v>4796</v>
      </c>
      <c r="F72" s="3">
        <f t="shared" si="19"/>
        <v>255</v>
      </c>
      <c r="G72" s="3">
        <f t="shared" si="19"/>
        <v>294</v>
      </c>
      <c r="N72" s="1">
        <f t="shared" si="6"/>
        <v>6507</v>
      </c>
    </row>
    <row r="73" spans="1:14" ht="12.75" customHeight="1" x14ac:dyDescent="0.3">
      <c r="A73" s="44" t="s">
        <v>57</v>
      </c>
      <c r="B73" s="3">
        <f>SUM(B54:B55)</f>
        <v>4136</v>
      </c>
      <c r="C73" s="3">
        <f t="shared" ref="C73:G73" si="20">SUM(C54:C55)</f>
        <v>11328</v>
      </c>
      <c r="D73" s="3">
        <f t="shared" si="20"/>
        <v>4466</v>
      </c>
      <c r="E73" s="3">
        <f t="shared" si="20"/>
        <v>2439</v>
      </c>
      <c r="F73" s="3">
        <f t="shared" si="20"/>
        <v>62</v>
      </c>
      <c r="G73" s="3">
        <f t="shared" si="20"/>
        <v>176</v>
      </c>
      <c r="N73" s="1">
        <f t="shared" si="6"/>
        <v>4528</v>
      </c>
    </row>
    <row r="74" spans="1:14" ht="12.75" customHeight="1" x14ac:dyDescent="0.3">
      <c r="A74" s="13" t="s">
        <v>152</v>
      </c>
      <c r="B74" s="13">
        <f>SUM(B67:B73)</f>
        <v>199087</v>
      </c>
      <c r="C74" s="13">
        <f t="shared" ref="C74:G74" si="21">SUM(C67:C73)</f>
        <v>124894</v>
      </c>
      <c r="D74" s="13">
        <f t="shared" si="21"/>
        <v>58650</v>
      </c>
      <c r="E74" s="13">
        <f t="shared" si="21"/>
        <v>54719</v>
      </c>
      <c r="F74" s="13">
        <f t="shared" si="21"/>
        <v>2682</v>
      </c>
      <c r="G74" s="13">
        <f t="shared" si="21"/>
        <v>6402</v>
      </c>
      <c r="N74" s="1">
        <f t="shared" si="6"/>
        <v>61332</v>
      </c>
    </row>
    <row r="75" spans="1:14" ht="12.75" customHeight="1" x14ac:dyDescent="0.3">
      <c r="A75" s="3"/>
      <c r="B75" s="3"/>
      <c r="C75" s="3"/>
      <c r="D75" s="3"/>
      <c r="E75" s="3"/>
      <c r="F75" s="3"/>
      <c r="G75" s="3"/>
      <c r="N75" s="1">
        <f t="shared" si="6"/>
        <v>0</v>
      </c>
    </row>
    <row r="76" spans="1:14" ht="13.5" customHeight="1" x14ac:dyDescent="0.3">
      <c r="A76" s="7" t="s">
        <v>81</v>
      </c>
      <c r="B76" s="3"/>
      <c r="C76" s="3"/>
      <c r="D76" s="3"/>
      <c r="E76" s="3"/>
      <c r="F76" s="3"/>
      <c r="G76" s="3"/>
      <c r="N76" s="1">
        <f t="shared" si="6"/>
        <v>0</v>
      </c>
    </row>
    <row r="77" spans="1:14" ht="13.5" customHeight="1" x14ac:dyDescent="0.3">
      <c r="A77" s="44" t="s">
        <v>49</v>
      </c>
      <c r="B77" s="3">
        <f>SUM(B10)</f>
        <v>6129</v>
      </c>
      <c r="C77" s="3">
        <f t="shared" ref="C77:G77" si="22">SUM(C10)</f>
        <v>2213</v>
      </c>
      <c r="D77" s="3">
        <f t="shared" si="22"/>
        <v>1436</v>
      </c>
      <c r="E77" s="3">
        <f>SUM(E9)</f>
        <v>25024</v>
      </c>
      <c r="F77" s="3">
        <f t="shared" si="22"/>
        <v>23</v>
      </c>
      <c r="G77" s="3">
        <f t="shared" si="22"/>
        <v>255</v>
      </c>
      <c r="N77" s="1">
        <f t="shared" si="6"/>
        <v>1459</v>
      </c>
    </row>
    <row r="78" spans="1:14" ht="13.5" customHeight="1" x14ac:dyDescent="0.3">
      <c r="A78" s="53" t="s">
        <v>51</v>
      </c>
      <c r="B78" s="3">
        <f>SUM(B11:B12)</f>
        <v>16028</v>
      </c>
      <c r="C78" s="3">
        <f t="shared" ref="C78:G78" si="23">SUM(C11:C12)</f>
        <v>4502</v>
      </c>
      <c r="D78" s="3">
        <f t="shared" si="23"/>
        <v>2493</v>
      </c>
      <c r="E78" s="3">
        <f>SUM(E10:E11)</f>
        <v>2656</v>
      </c>
      <c r="F78" s="3">
        <f t="shared" si="23"/>
        <v>106</v>
      </c>
      <c r="G78" s="3">
        <f t="shared" si="23"/>
        <v>332</v>
      </c>
      <c r="N78" s="1">
        <f t="shared" si="6"/>
        <v>2599</v>
      </c>
    </row>
    <row r="79" spans="1:14" ht="13.5" customHeight="1" x14ac:dyDescent="0.3">
      <c r="A79" s="44" t="s">
        <v>53</v>
      </c>
      <c r="B79" s="3">
        <f>SUM(B13:B15)</f>
        <v>16721</v>
      </c>
      <c r="C79" s="3">
        <f t="shared" ref="C79:G79" si="24">SUM(C13:C15)</f>
        <v>6100</v>
      </c>
      <c r="D79" s="3">
        <f t="shared" si="24"/>
        <v>3074</v>
      </c>
      <c r="E79" s="3">
        <f>SUM(E12:E14)</f>
        <v>3367</v>
      </c>
      <c r="F79" s="3">
        <f t="shared" si="24"/>
        <v>302</v>
      </c>
      <c r="G79" s="3">
        <f t="shared" si="24"/>
        <v>486</v>
      </c>
      <c r="N79" s="1">
        <f t="shared" si="6"/>
        <v>3376</v>
      </c>
    </row>
    <row r="80" spans="1:14" ht="13.5" customHeight="1" x14ac:dyDescent="0.3">
      <c r="A80" s="44" t="s">
        <v>54</v>
      </c>
      <c r="B80" s="3">
        <f>SUM(B16:B18)</f>
        <v>33463</v>
      </c>
      <c r="C80" s="3">
        <f t="shared" ref="C80:G80" si="25">SUM(C16:C18)</f>
        <v>18288</v>
      </c>
      <c r="D80" s="3">
        <f t="shared" si="25"/>
        <v>8427</v>
      </c>
      <c r="E80" s="3">
        <f>SUM(E15:E17)</f>
        <v>6341</v>
      </c>
      <c r="F80" s="3">
        <f t="shared" si="25"/>
        <v>356</v>
      </c>
      <c r="G80" s="3">
        <f t="shared" si="25"/>
        <v>1125</v>
      </c>
      <c r="N80" s="1">
        <f t="shared" si="6"/>
        <v>8783</v>
      </c>
    </row>
    <row r="81" spans="1:14" ht="13.5" customHeight="1" x14ac:dyDescent="0.3">
      <c r="A81" s="44" t="s">
        <v>55</v>
      </c>
      <c r="B81" s="3">
        <f>SUM(B19:B20)</f>
        <v>21613</v>
      </c>
      <c r="C81" s="3">
        <f t="shared" ref="C81:G81" si="26">SUM(C19:C20)</f>
        <v>20558</v>
      </c>
      <c r="D81" s="3">
        <f t="shared" si="26"/>
        <v>7391</v>
      </c>
      <c r="E81" s="3">
        <f>SUM(E18:E19)</f>
        <v>6410</v>
      </c>
      <c r="F81" s="3">
        <f t="shared" si="26"/>
        <v>676</v>
      </c>
      <c r="G81" s="3">
        <f t="shared" si="26"/>
        <v>937</v>
      </c>
      <c r="N81" s="1">
        <f t="shared" si="6"/>
        <v>8067</v>
      </c>
    </row>
    <row r="82" spans="1:14" ht="13.5" customHeight="1" x14ac:dyDescent="0.3">
      <c r="A82" s="44" t="s">
        <v>56</v>
      </c>
      <c r="B82" s="3">
        <f>SUM(B21)</f>
        <v>3831</v>
      </c>
      <c r="C82" s="3">
        <f t="shared" ref="C82:G82" si="27">SUM(C21)</f>
        <v>8117</v>
      </c>
      <c r="D82" s="3">
        <f t="shared" si="27"/>
        <v>2547</v>
      </c>
      <c r="E82" s="3">
        <f>SUM(E20)</f>
        <v>3428</v>
      </c>
      <c r="F82" s="3">
        <f t="shared" si="27"/>
        <v>126</v>
      </c>
      <c r="G82" s="3">
        <f t="shared" si="27"/>
        <v>148</v>
      </c>
      <c r="N82" s="1">
        <f t="shared" si="6"/>
        <v>2673</v>
      </c>
    </row>
    <row r="83" spans="1:14" ht="13.5" customHeight="1" x14ac:dyDescent="0.3">
      <c r="A83" s="44" t="s">
        <v>57</v>
      </c>
      <c r="B83" s="3">
        <f>SUM(B22:B23)</f>
        <v>1726</v>
      </c>
      <c r="C83" s="3">
        <f t="shared" ref="C83:G83" si="28">SUM(C22:C23)</f>
        <v>5057</v>
      </c>
      <c r="D83" s="3">
        <f t="shared" si="28"/>
        <v>1704</v>
      </c>
      <c r="E83" s="3">
        <f>SUM(E21:E22)</f>
        <v>2543</v>
      </c>
      <c r="F83" s="3">
        <f t="shared" si="28"/>
        <v>0</v>
      </c>
      <c r="G83" s="3">
        <f t="shared" si="28"/>
        <v>51</v>
      </c>
      <c r="N83" s="1">
        <f t="shared" si="6"/>
        <v>1704</v>
      </c>
    </row>
    <row r="84" spans="1:14" ht="13.5" customHeight="1" x14ac:dyDescent="0.3">
      <c r="A84" s="13" t="s">
        <v>152</v>
      </c>
      <c r="B84" s="13">
        <f>SUM(B77:B83)</f>
        <v>99511</v>
      </c>
      <c r="C84" s="13">
        <f t="shared" ref="C84:G84" si="29">SUM(C77:C83)</f>
        <v>64835</v>
      </c>
      <c r="D84" s="13">
        <f t="shared" si="29"/>
        <v>27072</v>
      </c>
      <c r="E84" s="13">
        <f t="shared" si="29"/>
        <v>49769</v>
      </c>
      <c r="F84" s="13">
        <f t="shared" si="29"/>
        <v>1589</v>
      </c>
      <c r="G84" s="13">
        <f t="shared" si="29"/>
        <v>3334</v>
      </c>
      <c r="N84" s="1">
        <f t="shared" si="6"/>
        <v>28661</v>
      </c>
    </row>
    <row r="85" spans="1:14" ht="13.5" customHeight="1" x14ac:dyDescent="0.3">
      <c r="A85" s="44"/>
      <c r="B85" s="3"/>
      <c r="C85" s="3"/>
      <c r="D85" s="3"/>
      <c r="E85" s="3"/>
      <c r="F85" s="3"/>
      <c r="G85" s="3"/>
      <c r="N85" s="1">
        <f t="shared" si="6"/>
        <v>0</v>
      </c>
    </row>
    <row r="86" spans="1:14" ht="13.5" customHeight="1" x14ac:dyDescent="0.3">
      <c r="A86" s="7" t="s">
        <v>82</v>
      </c>
      <c r="B86" s="3"/>
      <c r="C86" s="3"/>
      <c r="D86" s="3"/>
      <c r="E86" s="3"/>
      <c r="F86" s="3"/>
      <c r="G86" s="3"/>
      <c r="N86" s="1">
        <f t="shared" si="6"/>
        <v>0</v>
      </c>
    </row>
    <row r="87" spans="1:14" ht="13.5" customHeight="1" x14ac:dyDescent="0.3">
      <c r="A87" s="44" t="s">
        <v>49</v>
      </c>
      <c r="B87" s="3">
        <f>SUM(B26)</f>
        <v>5875</v>
      </c>
      <c r="C87" s="3">
        <f t="shared" ref="C87:G87" si="30">SUM(C26)</f>
        <v>2253</v>
      </c>
      <c r="D87" s="3">
        <f t="shared" si="30"/>
        <v>895</v>
      </c>
      <c r="E87" s="3">
        <f t="shared" si="30"/>
        <v>1486</v>
      </c>
      <c r="F87" s="3">
        <f t="shared" si="30"/>
        <v>71</v>
      </c>
      <c r="G87" s="3">
        <f t="shared" si="30"/>
        <v>95</v>
      </c>
      <c r="N87" s="1">
        <f t="shared" si="6"/>
        <v>966</v>
      </c>
    </row>
    <row r="88" spans="1:14" ht="13.5" customHeight="1" x14ac:dyDescent="0.3">
      <c r="A88" s="53" t="s">
        <v>51</v>
      </c>
      <c r="B88" s="3">
        <f>SUM(B27:B28)</f>
        <v>13365</v>
      </c>
      <c r="C88" s="3">
        <f t="shared" ref="C88:G88" si="31">SUM(C27:C28)</f>
        <v>3830</v>
      </c>
      <c r="D88" s="3">
        <f t="shared" si="31"/>
        <v>2580</v>
      </c>
      <c r="E88" s="3">
        <f t="shared" si="31"/>
        <v>2618</v>
      </c>
      <c r="F88" s="3">
        <f t="shared" si="31"/>
        <v>40</v>
      </c>
      <c r="G88" s="3">
        <f t="shared" si="31"/>
        <v>186</v>
      </c>
      <c r="N88" s="1">
        <f t="shared" si="6"/>
        <v>2620</v>
      </c>
    </row>
    <row r="89" spans="1:14" ht="13.5" customHeight="1" x14ac:dyDescent="0.3">
      <c r="A89" s="44" t="s">
        <v>53</v>
      </c>
      <c r="B89" s="3">
        <f>SUM(B29:B31)</f>
        <v>17975</v>
      </c>
      <c r="C89" s="3">
        <f t="shared" ref="C89:G89" si="32">SUM(C29:C31)</f>
        <v>5240</v>
      </c>
      <c r="D89" s="3">
        <f t="shared" si="32"/>
        <v>3297</v>
      </c>
      <c r="E89" s="3">
        <f t="shared" si="32"/>
        <v>3836</v>
      </c>
      <c r="F89" s="3">
        <f t="shared" si="32"/>
        <v>140</v>
      </c>
      <c r="G89" s="3">
        <f t="shared" si="32"/>
        <v>395</v>
      </c>
      <c r="N89" s="1">
        <f t="shared" si="6"/>
        <v>3437</v>
      </c>
    </row>
    <row r="90" spans="1:14" ht="12.75" customHeight="1" x14ac:dyDescent="0.3">
      <c r="A90" s="44" t="s">
        <v>54</v>
      </c>
      <c r="B90" s="3">
        <f>SUM(B32:B34)</f>
        <v>32271</v>
      </c>
      <c r="C90" s="3">
        <f t="shared" ref="C90:G90" si="33">SUM(C32:C34)</f>
        <v>16904</v>
      </c>
      <c r="D90" s="3">
        <f t="shared" si="33"/>
        <v>10246</v>
      </c>
      <c r="E90" s="3">
        <f t="shared" si="33"/>
        <v>8980</v>
      </c>
      <c r="F90" s="3">
        <f t="shared" si="33"/>
        <v>347</v>
      </c>
      <c r="G90" s="3">
        <f t="shared" si="33"/>
        <v>1356</v>
      </c>
      <c r="K90" s="4"/>
      <c r="L90" s="4"/>
      <c r="M90" s="4"/>
      <c r="N90" s="1">
        <f t="shared" si="6"/>
        <v>10593</v>
      </c>
    </row>
    <row r="91" spans="1:14" ht="14.4" x14ac:dyDescent="0.3">
      <c r="A91" s="44" t="s">
        <v>55</v>
      </c>
      <c r="B91" s="3">
        <f>SUM(B35:B36)</f>
        <v>22787</v>
      </c>
      <c r="C91" s="3">
        <f t="shared" ref="C91:G91" si="34">SUM(C35:C36)</f>
        <v>16964</v>
      </c>
      <c r="D91" s="3">
        <f t="shared" si="34"/>
        <v>8093</v>
      </c>
      <c r="E91" s="3">
        <f t="shared" si="34"/>
        <v>8362</v>
      </c>
      <c r="F91" s="3">
        <f t="shared" si="34"/>
        <v>304</v>
      </c>
      <c r="G91" s="3">
        <f t="shared" si="34"/>
        <v>765</v>
      </c>
      <c r="N91" s="1">
        <f t="shared" si="6"/>
        <v>8397</v>
      </c>
    </row>
    <row r="92" spans="1:14" ht="14.4" x14ac:dyDescent="0.3">
      <c r="A92" s="44" t="s">
        <v>56</v>
      </c>
      <c r="B92" s="3">
        <f>SUM(B37)</f>
        <v>4893</v>
      </c>
      <c r="C92" s="3">
        <f t="shared" ref="C92:G92" si="35">SUM(C37)</f>
        <v>8597</v>
      </c>
      <c r="D92" s="3">
        <f t="shared" si="35"/>
        <v>3705</v>
      </c>
      <c r="E92" s="3">
        <f t="shared" si="35"/>
        <v>2889</v>
      </c>
      <c r="F92" s="3">
        <f t="shared" si="35"/>
        <v>129</v>
      </c>
      <c r="G92" s="3">
        <f t="shared" si="35"/>
        <v>146</v>
      </c>
      <c r="N92" s="1">
        <f t="shared" si="6"/>
        <v>3834</v>
      </c>
    </row>
    <row r="93" spans="1:14" ht="14.4" x14ac:dyDescent="0.3">
      <c r="A93" s="44" t="s">
        <v>57</v>
      </c>
      <c r="B93" s="3">
        <f>SUM(B38:B39)</f>
        <v>2410</v>
      </c>
      <c r="C93" s="3">
        <f t="shared" ref="C93:G93" si="36">SUM(C38:C39)</f>
        <v>6271</v>
      </c>
      <c r="D93" s="3">
        <f t="shared" si="36"/>
        <v>2762</v>
      </c>
      <c r="E93" s="3">
        <f t="shared" si="36"/>
        <v>1524</v>
      </c>
      <c r="F93" s="3">
        <f t="shared" si="36"/>
        <v>62</v>
      </c>
      <c r="G93" s="3">
        <f t="shared" si="36"/>
        <v>125</v>
      </c>
      <c r="N93" s="1">
        <f t="shared" si="6"/>
        <v>2824</v>
      </c>
    </row>
    <row r="94" spans="1:14" x14ac:dyDescent="0.3">
      <c r="A94" s="13" t="s">
        <v>152</v>
      </c>
      <c r="B94" s="13">
        <f>SUM(B87:B93)</f>
        <v>99576</v>
      </c>
      <c r="C94" s="13">
        <f t="shared" ref="C94:G94" si="37">SUM(C87:C93)</f>
        <v>60059</v>
      </c>
      <c r="D94" s="13">
        <f t="shared" si="37"/>
        <v>31578</v>
      </c>
      <c r="E94" s="13">
        <f t="shared" si="37"/>
        <v>29695</v>
      </c>
      <c r="F94" s="13">
        <f t="shared" si="37"/>
        <v>1093</v>
      </c>
      <c r="G94" s="13">
        <f t="shared" si="37"/>
        <v>3068</v>
      </c>
      <c r="N94" s="1">
        <f t="shared" si="6"/>
        <v>32671</v>
      </c>
    </row>
  </sheetData>
  <mergeCells count="3">
    <mergeCell ref="A1:H7"/>
    <mergeCell ref="I8:J8"/>
    <mergeCell ref="I17:K17"/>
  </mergeCells>
  <hyperlinks>
    <hyperlink ref="B8" r:id="rId1" xr:uid="{421C7E14-9DEB-49F0-B05A-F6C8CB61DE76}"/>
    <hyperlink ref="D8" r:id="rId2" xr:uid="{F77ECE00-D94E-4CB5-8F8F-42B16FC6D73F}"/>
    <hyperlink ref="E8" r:id="rId3" xr:uid="{FEFFD6F2-0D9D-4F93-BFB4-6C33F4AEE024}"/>
    <hyperlink ref="F8" r:id="rId4" xr:uid="{CE994386-8800-4FD5-839E-9979E39522DC}"/>
    <hyperlink ref="G8" r:id="rId5" xr:uid="{2E96D546-6F78-4BDD-908F-6DF9C5A5491A}"/>
    <hyperlink ref="C8" r:id="rId6" xr:uid="{86A9EEE5-92B0-4FF3-A519-1655C0A58A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FDA-0BFB-4CAC-A297-B0A72EE6198D}">
  <dimension ref="A1:AM60"/>
  <sheetViews>
    <sheetView workbookViewId="0">
      <pane ySplit="1" topLeftCell="A2" activePane="bottomLeft" state="frozen"/>
      <selection pane="bottomLeft" activeCell="P3" sqref="P3"/>
    </sheetView>
  </sheetViews>
  <sheetFormatPr defaultColWidth="8.77734375" defaultRowHeight="14.4" x14ac:dyDescent="0.3"/>
  <cols>
    <col min="1" max="1" width="22.77734375" customWidth="1"/>
    <col min="9" max="9" width="19.6640625" customWidth="1"/>
  </cols>
  <sheetData>
    <row r="1" spans="1:39" x14ac:dyDescent="0.3">
      <c r="A1" s="170" t="s">
        <v>159</v>
      </c>
      <c r="B1" s="170"/>
      <c r="C1" s="170"/>
      <c r="D1" s="170"/>
      <c r="E1" s="170"/>
      <c r="F1" s="170"/>
      <c r="G1" s="161"/>
      <c r="H1" s="161"/>
      <c r="I1" s="171" t="s">
        <v>160</v>
      </c>
      <c r="J1" s="171"/>
      <c r="K1" s="171"/>
      <c r="L1" s="171"/>
      <c r="M1" s="171"/>
      <c r="N1" s="171"/>
      <c r="O1" s="162"/>
      <c r="Q1" s="171" t="s">
        <v>161</v>
      </c>
      <c r="R1" s="171"/>
      <c r="S1" s="171"/>
      <c r="T1" s="171"/>
      <c r="U1" s="171"/>
      <c r="V1" s="171"/>
      <c r="Y1" s="171" t="s">
        <v>162</v>
      </c>
      <c r="Z1" s="171"/>
      <c r="AA1" s="171"/>
      <c r="AB1" s="171"/>
      <c r="AC1" s="171"/>
      <c r="AD1" s="171"/>
      <c r="AE1" s="171"/>
      <c r="AG1" s="171" t="s">
        <v>163</v>
      </c>
      <c r="AH1" s="171"/>
      <c r="AI1" s="171"/>
      <c r="AJ1" s="171"/>
      <c r="AK1" s="171"/>
      <c r="AL1" s="171"/>
      <c r="AM1" s="171"/>
    </row>
    <row r="2" spans="1:39" x14ac:dyDescent="0.3">
      <c r="A2" s="142"/>
      <c r="B2" s="142">
        <v>2017</v>
      </c>
      <c r="C2" s="142">
        <v>2018</v>
      </c>
      <c r="D2" s="142">
        <v>2019</v>
      </c>
      <c r="E2" s="142">
        <v>2020</v>
      </c>
      <c r="F2" s="142">
        <v>2021</v>
      </c>
      <c r="G2" s="142">
        <v>2022</v>
      </c>
      <c r="H2" s="142">
        <v>2023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H2">
        <v>2017</v>
      </c>
      <c r="AI2">
        <v>2018</v>
      </c>
      <c r="AJ2">
        <v>2019</v>
      </c>
      <c r="AK2">
        <v>2020</v>
      </c>
      <c r="AL2">
        <v>2021</v>
      </c>
      <c r="AM2">
        <v>2022</v>
      </c>
    </row>
    <row r="3" spans="1:39" s="36" customFormat="1" x14ac:dyDescent="0.3">
      <c r="A3" s="36" t="s">
        <v>164</v>
      </c>
      <c r="B3" s="36">
        <v>201523</v>
      </c>
      <c r="C3" s="36">
        <v>199182</v>
      </c>
      <c r="D3" s="36">
        <v>198872</v>
      </c>
      <c r="E3" s="36">
        <v>199803</v>
      </c>
      <c r="F3" s="36">
        <v>204649</v>
      </c>
      <c r="G3" s="36">
        <v>203754</v>
      </c>
      <c r="H3" s="36">
        <v>199087</v>
      </c>
      <c r="I3" s="36" t="s">
        <v>164</v>
      </c>
      <c r="J3" s="36">
        <v>129957</v>
      </c>
      <c r="K3" s="36">
        <v>131851</v>
      </c>
      <c r="L3" s="36">
        <v>131457</v>
      </c>
      <c r="M3" s="36">
        <v>129716</v>
      </c>
      <c r="N3" s="36">
        <v>129562</v>
      </c>
      <c r="O3" s="36">
        <v>125910</v>
      </c>
      <c r="P3" s="13">
        <v>124894</v>
      </c>
      <c r="Q3" s="36" t="s">
        <v>164</v>
      </c>
      <c r="R3" s="36">
        <v>62231</v>
      </c>
      <c r="S3" s="36">
        <v>61622</v>
      </c>
      <c r="T3" s="36">
        <v>61066</v>
      </c>
      <c r="U3" s="36">
        <v>59270</v>
      </c>
      <c r="V3" s="36">
        <v>60556</v>
      </c>
      <c r="W3" s="36">
        <v>58592</v>
      </c>
      <c r="X3" s="36">
        <v>58650</v>
      </c>
      <c r="Y3" s="36" t="s">
        <v>164</v>
      </c>
      <c r="Z3" s="36">
        <v>60784</v>
      </c>
      <c r="AA3" s="36">
        <v>60443</v>
      </c>
      <c r="AB3" s="36">
        <v>59126</v>
      </c>
      <c r="AC3" s="36">
        <v>58238</v>
      </c>
      <c r="AD3" s="36">
        <v>56240</v>
      </c>
      <c r="AE3" s="36">
        <v>55623</v>
      </c>
      <c r="AF3" s="13">
        <v>54719</v>
      </c>
      <c r="AG3" s="36" t="s">
        <v>164</v>
      </c>
      <c r="AH3" s="36">
        <v>21907</v>
      </c>
      <c r="AI3" s="36">
        <v>21814</v>
      </c>
      <c r="AJ3" s="36">
        <v>21772</v>
      </c>
      <c r="AK3" s="36">
        <v>30714</v>
      </c>
      <c r="AL3" s="36">
        <v>40358</v>
      </c>
      <c r="AM3" s="36">
        <v>52396</v>
      </c>
    </row>
    <row r="4" spans="1:39" x14ac:dyDescent="0.3">
      <c r="A4" s="142" t="s">
        <v>128</v>
      </c>
      <c r="B4" s="142">
        <v>100542</v>
      </c>
      <c r="C4" s="142">
        <v>98874</v>
      </c>
      <c r="D4" s="142">
        <v>98169</v>
      </c>
      <c r="E4" s="142">
        <v>99060</v>
      </c>
      <c r="F4" s="142">
        <v>102035</v>
      </c>
      <c r="G4" s="142">
        <v>102361</v>
      </c>
      <c r="H4" s="3">
        <v>99511</v>
      </c>
      <c r="I4" t="s">
        <v>128</v>
      </c>
      <c r="J4">
        <v>65420</v>
      </c>
      <c r="K4">
        <v>66681</v>
      </c>
      <c r="L4">
        <v>67631</v>
      </c>
      <c r="M4">
        <v>66393</v>
      </c>
      <c r="N4">
        <v>67183</v>
      </c>
      <c r="O4">
        <v>65457</v>
      </c>
      <c r="P4" s="3">
        <v>64835</v>
      </c>
      <c r="Q4" t="s">
        <v>128</v>
      </c>
      <c r="R4">
        <v>30036</v>
      </c>
      <c r="S4">
        <v>29502</v>
      </c>
      <c r="T4">
        <v>29271</v>
      </c>
      <c r="U4">
        <v>28019</v>
      </c>
      <c r="V4">
        <v>27320</v>
      </c>
      <c r="W4">
        <v>26487</v>
      </c>
      <c r="X4" s="3">
        <v>27072</v>
      </c>
      <c r="Y4" t="s">
        <v>128</v>
      </c>
      <c r="Z4">
        <v>28587</v>
      </c>
      <c r="AA4">
        <v>28832</v>
      </c>
      <c r="AB4">
        <v>28128</v>
      </c>
      <c r="AC4">
        <v>27041</v>
      </c>
      <c r="AD4">
        <v>25724</v>
      </c>
      <c r="AE4">
        <v>25385</v>
      </c>
      <c r="AF4" s="3">
        <v>25024</v>
      </c>
      <c r="AG4" t="s">
        <v>128</v>
      </c>
      <c r="AH4">
        <v>10628</v>
      </c>
      <c r="AI4">
        <v>10507</v>
      </c>
      <c r="AJ4">
        <v>10862</v>
      </c>
      <c r="AK4">
        <v>15285</v>
      </c>
      <c r="AL4">
        <v>19975</v>
      </c>
      <c r="AM4">
        <v>26186</v>
      </c>
    </row>
    <row r="5" spans="1:39" x14ac:dyDescent="0.3">
      <c r="A5" s="142" t="s">
        <v>13</v>
      </c>
      <c r="B5" s="142">
        <v>9185</v>
      </c>
      <c r="C5" s="142">
        <v>8596</v>
      </c>
      <c r="D5" s="142">
        <v>8593</v>
      </c>
      <c r="E5" s="142">
        <v>7659</v>
      </c>
      <c r="F5" s="142">
        <v>7239</v>
      </c>
      <c r="G5" s="142">
        <v>6749</v>
      </c>
      <c r="H5" s="3">
        <v>6129</v>
      </c>
      <c r="I5" t="s">
        <v>13</v>
      </c>
      <c r="J5">
        <v>2168</v>
      </c>
      <c r="K5">
        <v>2164</v>
      </c>
      <c r="L5">
        <v>2205</v>
      </c>
      <c r="M5">
        <v>2026</v>
      </c>
      <c r="N5">
        <v>2087</v>
      </c>
      <c r="O5">
        <v>2173</v>
      </c>
      <c r="P5" s="3">
        <v>2213</v>
      </c>
      <c r="Q5" t="s">
        <v>13</v>
      </c>
      <c r="R5">
        <v>1948</v>
      </c>
      <c r="S5">
        <v>1468</v>
      </c>
      <c r="T5">
        <v>1259</v>
      </c>
      <c r="U5">
        <v>1683</v>
      </c>
      <c r="V5">
        <v>1656</v>
      </c>
      <c r="W5">
        <v>1396</v>
      </c>
      <c r="X5" s="3">
        <v>1436</v>
      </c>
      <c r="Y5" t="s">
        <v>13</v>
      </c>
      <c r="Z5">
        <v>2159</v>
      </c>
      <c r="AA5">
        <v>2110</v>
      </c>
      <c r="AB5">
        <v>1888</v>
      </c>
      <c r="AC5">
        <v>1520</v>
      </c>
      <c r="AD5">
        <v>1496</v>
      </c>
      <c r="AE5">
        <v>1130</v>
      </c>
      <c r="AF5" s="3">
        <v>1235</v>
      </c>
      <c r="AG5" t="s">
        <v>13</v>
      </c>
      <c r="AH5">
        <v>1656</v>
      </c>
      <c r="AI5">
        <v>1591</v>
      </c>
      <c r="AJ5">
        <v>1686</v>
      </c>
      <c r="AK5">
        <v>1712</v>
      </c>
      <c r="AL5">
        <v>1767</v>
      </c>
      <c r="AM5">
        <v>2299</v>
      </c>
    </row>
    <row r="6" spans="1:39" x14ac:dyDescent="0.3">
      <c r="A6" s="142" t="s">
        <v>15</v>
      </c>
      <c r="B6" s="142">
        <v>9012</v>
      </c>
      <c r="C6" s="142">
        <v>8773</v>
      </c>
      <c r="D6" s="142">
        <v>8607</v>
      </c>
      <c r="E6" s="142">
        <v>8187</v>
      </c>
      <c r="F6" s="142">
        <v>8264</v>
      </c>
      <c r="G6" s="142">
        <v>7828</v>
      </c>
      <c r="H6" s="3">
        <v>7055</v>
      </c>
      <c r="I6" t="s">
        <v>15</v>
      </c>
      <c r="J6">
        <v>2253</v>
      </c>
      <c r="K6">
        <v>2163</v>
      </c>
      <c r="L6">
        <v>2045</v>
      </c>
      <c r="M6">
        <v>1986</v>
      </c>
      <c r="N6">
        <v>2228</v>
      </c>
      <c r="O6">
        <v>2128</v>
      </c>
      <c r="P6" s="3">
        <v>1967</v>
      </c>
      <c r="Q6" t="s">
        <v>15</v>
      </c>
      <c r="R6">
        <v>1799</v>
      </c>
      <c r="S6">
        <v>1711</v>
      </c>
      <c r="T6">
        <v>1630</v>
      </c>
      <c r="U6">
        <v>1376</v>
      </c>
      <c r="V6">
        <v>1288</v>
      </c>
      <c r="W6">
        <v>1223</v>
      </c>
      <c r="X6" s="3">
        <v>1172</v>
      </c>
      <c r="Y6" t="s">
        <v>15</v>
      </c>
      <c r="Z6">
        <v>2085</v>
      </c>
      <c r="AA6">
        <v>2017</v>
      </c>
      <c r="AB6">
        <v>2030</v>
      </c>
      <c r="AC6">
        <v>2063</v>
      </c>
      <c r="AD6">
        <v>1814</v>
      </c>
      <c r="AE6">
        <v>1490</v>
      </c>
      <c r="AF6" s="3">
        <v>1421</v>
      </c>
      <c r="AG6" t="s">
        <v>15</v>
      </c>
      <c r="AH6">
        <v>1315</v>
      </c>
      <c r="AI6">
        <v>1277</v>
      </c>
      <c r="AJ6">
        <v>1367</v>
      </c>
      <c r="AK6">
        <v>1513</v>
      </c>
      <c r="AL6">
        <v>1888</v>
      </c>
      <c r="AM6">
        <v>2224</v>
      </c>
    </row>
    <row r="7" spans="1:39" x14ac:dyDescent="0.3">
      <c r="A7" s="142" t="s">
        <v>17</v>
      </c>
      <c r="B7" s="142">
        <v>8669</v>
      </c>
      <c r="C7" s="142">
        <v>8784</v>
      </c>
      <c r="D7" s="142">
        <v>9091</v>
      </c>
      <c r="E7" s="142">
        <v>9495</v>
      </c>
      <c r="F7" s="142">
        <v>9809</v>
      </c>
      <c r="G7" s="142">
        <v>9654</v>
      </c>
      <c r="H7" s="3">
        <v>8973</v>
      </c>
      <c r="I7" t="s">
        <v>17</v>
      </c>
      <c r="J7">
        <v>2338</v>
      </c>
      <c r="K7">
        <v>2187</v>
      </c>
      <c r="L7">
        <v>2295</v>
      </c>
      <c r="M7">
        <v>2536</v>
      </c>
      <c r="N7">
        <v>2650</v>
      </c>
      <c r="O7">
        <v>2612</v>
      </c>
      <c r="P7" s="3">
        <v>2535</v>
      </c>
      <c r="Q7" t="s">
        <v>17</v>
      </c>
      <c r="R7">
        <v>1564</v>
      </c>
      <c r="S7">
        <v>1607</v>
      </c>
      <c r="T7">
        <v>1436</v>
      </c>
      <c r="U7">
        <v>1333</v>
      </c>
      <c r="V7">
        <v>1306</v>
      </c>
      <c r="W7">
        <v>1302</v>
      </c>
      <c r="X7" s="3">
        <v>1321</v>
      </c>
      <c r="Y7" t="s">
        <v>17</v>
      </c>
      <c r="Z7">
        <v>1862</v>
      </c>
      <c r="AA7">
        <v>2013</v>
      </c>
      <c r="AB7">
        <v>1893</v>
      </c>
      <c r="AC7">
        <v>1756</v>
      </c>
      <c r="AD7">
        <v>1790</v>
      </c>
      <c r="AE7">
        <v>1736</v>
      </c>
      <c r="AF7" s="3">
        <v>1618</v>
      </c>
      <c r="AG7" t="s">
        <v>17</v>
      </c>
      <c r="AH7">
        <v>1079</v>
      </c>
      <c r="AI7">
        <v>1190</v>
      </c>
      <c r="AJ7">
        <v>1274</v>
      </c>
      <c r="AK7">
        <v>1654</v>
      </c>
      <c r="AL7">
        <v>1855</v>
      </c>
      <c r="AM7">
        <v>2258</v>
      </c>
    </row>
    <row r="8" spans="1:39" x14ac:dyDescent="0.3">
      <c r="A8" s="142" t="s">
        <v>137</v>
      </c>
      <c r="B8" s="142">
        <v>5342</v>
      </c>
      <c r="C8" s="142">
        <v>4897</v>
      </c>
      <c r="D8" s="142">
        <v>4607</v>
      </c>
      <c r="E8" s="142">
        <v>4100</v>
      </c>
      <c r="F8" s="142">
        <v>4258</v>
      </c>
      <c r="G8" s="142">
        <v>4394</v>
      </c>
      <c r="H8" s="3">
        <v>4561</v>
      </c>
      <c r="I8" t="s">
        <v>137</v>
      </c>
      <c r="J8">
        <v>1195</v>
      </c>
      <c r="K8">
        <v>1284</v>
      </c>
      <c r="L8">
        <v>1410</v>
      </c>
      <c r="M8">
        <v>1585</v>
      </c>
      <c r="N8">
        <v>1638</v>
      </c>
      <c r="O8">
        <v>1681</v>
      </c>
      <c r="P8" s="3">
        <v>1789</v>
      </c>
      <c r="Q8" t="s">
        <v>137</v>
      </c>
      <c r="R8">
        <v>970</v>
      </c>
      <c r="S8">
        <v>865</v>
      </c>
      <c r="T8">
        <v>737</v>
      </c>
      <c r="U8">
        <v>720</v>
      </c>
      <c r="V8">
        <v>681</v>
      </c>
      <c r="W8">
        <v>695</v>
      </c>
      <c r="X8" s="3">
        <v>862</v>
      </c>
      <c r="Y8" t="s">
        <v>137</v>
      </c>
      <c r="Z8">
        <v>1284</v>
      </c>
      <c r="AA8">
        <v>1277</v>
      </c>
      <c r="AB8">
        <v>1287</v>
      </c>
      <c r="AC8">
        <v>1333</v>
      </c>
      <c r="AD8">
        <v>1510</v>
      </c>
      <c r="AE8">
        <v>1492</v>
      </c>
      <c r="AF8" s="3">
        <v>1321</v>
      </c>
      <c r="AG8" t="s">
        <v>137</v>
      </c>
      <c r="AH8">
        <v>538</v>
      </c>
      <c r="AI8">
        <v>472</v>
      </c>
      <c r="AJ8">
        <v>396</v>
      </c>
      <c r="AK8">
        <v>529</v>
      </c>
      <c r="AL8">
        <v>680</v>
      </c>
      <c r="AM8">
        <v>969</v>
      </c>
    </row>
    <row r="9" spans="1:39" x14ac:dyDescent="0.3">
      <c r="A9" s="142" t="s">
        <v>140</v>
      </c>
      <c r="B9" s="142">
        <v>3395</v>
      </c>
      <c r="C9" s="142">
        <v>3362</v>
      </c>
      <c r="D9" s="142">
        <v>3146</v>
      </c>
      <c r="E9" s="142">
        <v>3464</v>
      </c>
      <c r="F9" s="142">
        <v>3622</v>
      </c>
      <c r="G9" s="142">
        <v>3955</v>
      </c>
      <c r="H9" s="3">
        <v>3881</v>
      </c>
      <c r="I9" t="s">
        <v>140</v>
      </c>
      <c r="J9">
        <v>889</v>
      </c>
      <c r="K9">
        <v>1073</v>
      </c>
      <c r="L9">
        <v>1199</v>
      </c>
      <c r="M9">
        <v>1083</v>
      </c>
      <c r="N9">
        <v>1147</v>
      </c>
      <c r="O9">
        <v>1112</v>
      </c>
      <c r="P9" s="3">
        <v>1073</v>
      </c>
      <c r="Q9" t="s">
        <v>140</v>
      </c>
      <c r="R9">
        <v>538</v>
      </c>
      <c r="S9">
        <v>542</v>
      </c>
      <c r="T9">
        <v>656</v>
      </c>
      <c r="U9">
        <v>657</v>
      </c>
      <c r="V9">
        <v>654</v>
      </c>
      <c r="W9">
        <v>601</v>
      </c>
      <c r="X9" s="3">
        <v>644</v>
      </c>
      <c r="Y9" t="s">
        <v>140</v>
      </c>
      <c r="Z9">
        <v>1088</v>
      </c>
      <c r="AA9">
        <v>981</v>
      </c>
      <c r="AB9">
        <v>939</v>
      </c>
      <c r="AC9">
        <v>817</v>
      </c>
      <c r="AD9">
        <v>777</v>
      </c>
      <c r="AE9">
        <v>484</v>
      </c>
      <c r="AF9" s="3">
        <v>428</v>
      </c>
      <c r="AG9" t="s">
        <v>140</v>
      </c>
      <c r="AH9">
        <v>364</v>
      </c>
      <c r="AI9">
        <v>331</v>
      </c>
      <c r="AJ9">
        <v>347</v>
      </c>
      <c r="AK9">
        <v>618</v>
      </c>
      <c r="AL9">
        <v>824</v>
      </c>
      <c r="AM9">
        <v>966</v>
      </c>
    </row>
    <row r="10" spans="1:39" x14ac:dyDescent="0.3">
      <c r="A10" s="142" t="s">
        <v>21</v>
      </c>
      <c r="B10" s="142">
        <v>9844</v>
      </c>
      <c r="C10" s="142">
        <v>9763</v>
      </c>
      <c r="D10" s="142">
        <v>9172</v>
      </c>
      <c r="E10" s="142">
        <v>8674</v>
      </c>
      <c r="F10" s="142">
        <v>8232</v>
      </c>
      <c r="G10" s="142">
        <v>8815</v>
      </c>
      <c r="H10" s="3">
        <v>8279</v>
      </c>
      <c r="I10" t="s">
        <v>21</v>
      </c>
      <c r="J10">
        <v>3323</v>
      </c>
      <c r="K10">
        <v>3413</v>
      </c>
      <c r="L10">
        <v>3437</v>
      </c>
      <c r="M10">
        <v>3268</v>
      </c>
      <c r="N10">
        <v>3182</v>
      </c>
      <c r="O10">
        <v>3206</v>
      </c>
      <c r="P10" s="3">
        <v>3238</v>
      </c>
      <c r="Q10" t="s">
        <v>21</v>
      </c>
      <c r="R10">
        <v>2539</v>
      </c>
      <c r="S10">
        <v>2491</v>
      </c>
      <c r="T10">
        <v>2478</v>
      </c>
      <c r="U10">
        <v>2153</v>
      </c>
      <c r="V10">
        <v>1791</v>
      </c>
      <c r="W10">
        <v>1766</v>
      </c>
      <c r="X10" s="3">
        <v>1568</v>
      </c>
      <c r="Y10" t="s">
        <v>21</v>
      </c>
      <c r="Z10">
        <v>2368</v>
      </c>
      <c r="AA10">
        <v>2620</v>
      </c>
      <c r="AB10">
        <v>2196</v>
      </c>
      <c r="AC10">
        <v>2148</v>
      </c>
      <c r="AD10">
        <v>1802</v>
      </c>
      <c r="AE10">
        <v>1931</v>
      </c>
      <c r="AF10" s="3">
        <v>1465</v>
      </c>
      <c r="AG10" t="s">
        <v>21</v>
      </c>
      <c r="AH10">
        <v>1041</v>
      </c>
      <c r="AI10">
        <v>945</v>
      </c>
      <c r="AJ10">
        <v>947</v>
      </c>
      <c r="AK10">
        <v>1375</v>
      </c>
      <c r="AL10">
        <v>1663</v>
      </c>
      <c r="AM10">
        <v>2069</v>
      </c>
    </row>
    <row r="11" spans="1:39" x14ac:dyDescent="0.3">
      <c r="A11" s="142" t="s">
        <v>23</v>
      </c>
      <c r="B11" s="142">
        <v>8722</v>
      </c>
      <c r="C11" s="142">
        <v>9072</v>
      </c>
      <c r="D11" s="142">
        <v>9230</v>
      </c>
      <c r="E11" s="142">
        <v>9787</v>
      </c>
      <c r="F11" s="142">
        <v>9409</v>
      </c>
      <c r="G11" s="142">
        <v>9504</v>
      </c>
      <c r="H11" s="3">
        <v>8729</v>
      </c>
      <c r="I11" t="s">
        <v>23</v>
      </c>
      <c r="J11">
        <v>5410</v>
      </c>
      <c r="K11">
        <v>5530</v>
      </c>
      <c r="L11">
        <v>5480</v>
      </c>
      <c r="M11">
        <v>5119</v>
      </c>
      <c r="N11">
        <v>4887</v>
      </c>
      <c r="O11">
        <v>4108</v>
      </c>
      <c r="P11" s="3">
        <v>3649</v>
      </c>
      <c r="Q11" t="s">
        <v>23</v>
      </c>
      <c r="R11">
        <v>3098</v>
      </c>
      <c r="S11">
        <v>3054</v>
      </c>
      <c r="T11">
        <v>2955</v>
      </c>
      <c r="U11">
        <v>2671</v>
      </c>
      <c r="V11">
        <v>2439</v>
      </c>
      <c r="W11">
        <v>2153</v>
      </c>
      <c r="X11" s="3">
        <v>2007</v>
      </c>
      <c r="Y11" t="s">
        <v>23</v>
      </c>
      <c r="Z11">
        <v>2606</v>
      </c>
      <c r="AA11">
        <v>2501</v>
      </c>
      <c r="AB11">
        <v>2755</v>
      </c>
      <c r="AC11">
        <v>2555</v>
      </c>
      <c r="AD11">
        <v>2113</v>
      </c>
      <c r="AE11">
        <v>2270</v>
      </c>
      <c r="AF11" s="3">
        <v>2295</v>
      </c>
      <c r="AG11" t="s">
        <v>23</v>
      </c>
      <c r="AH11">
        <v>1110</v>
      </c>
      <c r="AI11">
        <v>1017</v>
      </c>
      <c r="AJ11">
        <v>996</v>
      </c>
      <c r="AK11">
        <v>1515</v>
      </c>
      <c r="AL11">
        <v>1711</v>
      </c>
      <c r="AM11">
        <v>2275</v>
      </c>
    </row>
    <row r="12" spans="1:39" x14ac:dyDescent="0.3">
      <c r="A12" s="142" t="s">
        <v>25</v>
      </c>
      <c r="B12" s="142">
        <v>8893</v>
      </c>
      <c r="C12" s="142">
        <v>8808</v>
      </c>
      <c r="D12" s="142">
        <v>9133</v>
      </c>
      <c r="E12" s="142">
        <v>9271</v>
      </c>
      <c r="F12" s="142">
        <v>10079</v>
      </c>
      <c r="G12" s="142">
        <v>9634</v>
      </c>
      <c r="H12" s="3">
        <v>9597</v>
      </c>
      <c r="I12" t="s">
        <v>25</v>
      </c>
      <c r="J12">
        <v>4802</v>
      </c>
      <c r="K12">
        <v>5302</v>
      </c>
      <c r="L12">
        <v>5714</v>
      </c>
      <c r="M12">
        <v>5622</v>
      </c>
      <c r="N12">
        <v>5604</v>
      </c>
      <c r="O12">
        <v>6145</v>
      </c>
      <c r="P12" s="3">
        <v>5925</v>
      </c>
      <c r="Q12" t="s">
        <v>25</v>
      </c>
      <c r="R12">
        <v>2852</v>
      </c>
      <c r="S12">
        <v>2797</v>
      </c>
      <c r="T12">
        <v>2772</v>
      </c>
      <c r="U12">
        <v>2320</v>
      </c>
      <c r="V12">
        <v>2300</v>
      </c>
      <c r="W12">
        <v>2027</v>
      </c>
      <c r="X12" s="3">
        <v>2067</v>
      </c>
      <c r="Y12" t="s">
        <v>25</v>
      </c>
      <c r="Z12">
        <v>1791</v>
      </c>
      <c r="AA12">
        <v>1691</v>
      </c>
      <c r="AB12">
        <v>1526</v>
      </c>
      <c r="AC12">
        <v>1816</v>
      </c>
      <c r="AD12">
        <v>1883</v>
      </c>
      <c r="AE12">
        <v>2104</v>
      </c>
      <c r="AF12" s="3">
        <v>2581</v>
      </c>
      <c r="AG12" t="s">
        <v>25</v>
      </c>
      <c r="AH12">
        <v>788</v>
      </c>
      <c r="AI12">
        <v>833</v>
      </c>
      <c r="AJ12">
        <v>834</v>
      </c>
      <c r="AK12">
        <v>1179</v>
      </c>
      <c r="AL12">
        <v>1892</v>
      </c>
      <c r="AM12">
        <v>2389</v>
      </c>
    </row>
    <row r="13" spans="1:39" x14ac:dyDescent="0.3">
      <c r="A13" s="142" t="s">
        <v>144</v>
      </c>
      <c r="B13" s="142">
        <v>14740</v>
      </c>
      <c r="C13" s="142">
        <v>14237</v>
      </c>
      <c r="D13" s="142">
        <v>13987</v>
      </c>
      <c r="E13" s="142">
        <v>14580</v>
      </c>
      <c r="F13" s="142">
        <v>14905</v>
      </c>
      <c r="G13" s="142">
        <v>15112</v>
      </c>
      <c r="H13" s="3">
        <v>15137</v>
      </c>
      <c r="I13" t="s">
        <v>144</v>
      </c>
      <c r="J13">
        <v>8085</v>
      </c>
      <c r="K13">
        <v>8288</v>
      </c>
      <c r="L13">
        <v>8536</v>
      </c>
      <c r="M13">
        <v>8468</v>
      </c>
      <c r="N13">
        <v>9220</v>
      </c>
      <c r="O13">
        <v>9052</v>
      </c>
      <c r="P13" s="3">
        <v>8714</v>
      </c>
      <c r="Q13" t="s">
        <v>144</v>
      </c>
      <c r="R13">
        <v>4325</v>
      </c>
      <c r="S13">
        <v>4306</v>
      </c>
      <c r="T13">
        <v>4041</v>
      </c>
      <c r="U13">
        <v>3822</v>
      </c>
      <c r="V13">
        <v>3854</v>
      </c>
      <c r="W13">
        <v>4052</v>
      </c>
      <c r="X13" s="3">
        <v>4353</v>
      </c>
      <c r="Y13" t="s">
        <v>144</v>
      </c>
      <c r="Z13">
        <v>3913</v>
      </c>
      <c r="AA13">
        <v>4069</v>
      </c>
      <c r="AB13">
        <v>4014</v>
      </c>
      <c r="AC13">
        <v>3701</v>
      </c>
      <c r="AD13">
        <v>3303</v>
      </c>
      <c r="AE13">
        <v>3350</v>
      </c>
      <c r="AF13" s="3">
        <v>3281</v>
      </c>
      <c r="AG13" t="s">
        <v>144</v>
      </c>
      <c r="AH13">
        <v>975</v>
      </c>
      <c r="AI13">
        <v>1051</v>
      </c>
      <c r="AJ13">
        <v>1222</v>
      </c>
      <c r="AK13">
        <v>2327</v>
      </c>
      <c r="AL13">
        <v>3053</v>
      </c>
      <c r="AM13">
        <v>3765</v>
      </c>
    </row>
    <row r="14" spans="1:39" x14ac:dyDescent="0.3">
      <c r="A14" s="142" t="s">
        <v>145</v>
      </c>
      <c r="B14" s="142">
        <v>11939</v>
      </c>
      <c r="C14" s="142">
        <v>11433</v>
      </c>
      <c r="D14" s="142">
        <v>10804</v>
      </c>
      <c r="E14" s="142">
        <v>11476</v>
      </c>
      <c r="F14" s="142">
        <v>11876</v>
      </c>
      <c r="G14" s="142">
        <v>12298</v>
      </c>
      <c r="H14" s="3">
        <v>12268</v>
      </c>
      <c r="I14" t="s">
        <v>145</v>
      </c>
      <c r="J14">
        <v>11345</v>
      </c>
      <c r="K14">
        <v>11420</v>
      </c>
      <c r="L14">
        <v>11127</v>
      </c>
      <c r="M14">
        <v>10568</v>
      </c>
      <c r="N14">
        <v>9965</v>
      </c>
      <c r="O14">
        <v>9155</v>
      </c>
      <c r="P14" s="3">
        <v>8875</v>
      </c>
      <c r="Q14" t="s">
        <v>145</v>
      </c>
      <c r="R14">
        <v>3913</v>
      </c>
      <c r="S14">
        <v>3946</v>
      </c>
      <c r="T14">
        <v>4153</v>
      </c>
      <c r="U14">
        <v>4008</v>
      </c>
      <c r="V14">
        <v>3881</v>
      </c>
      <c r="W14">
        <v>3777</v>
      </c>
      <c r="X14" s="3">
        <v>3829</v>
      </c>
      <c r="Y14" t="s">
        <v>145</v>
      </c>
      <c r="Z14">
        <v>3933</v>
      </c>
      <c r="AA14">
        <v>3787</v>
      </c>
      <c r="AB14">
        <v>3439</v>
      </c>
      <c r="AC14">
        <v>3271</v>
      </c>
      <c r="AD14">
        <v>3234</v>
      </c>
      <c r="AE14">
        <v>3400</v>
      </c>
      <c r="AF14" s="3">
        <v>3129</v>
      </c>
      <c r="AG14" t="s">
        <v>145</v>
      </c>
      <c r="AH14">
        <v>829</v>
      </c>
      <c r="AI14">
        <v>878</v>
      </c>
      <c r="AJ14">
        <v>972</v>
      </c>
      <c r="AK14">
        <v>1337</v>
      </c>
      <c r="AL14">
        <v>2016</v>
      </c>
      <c r="AM14">
        <v>2928</v>
      </c>
    </row>
    <row r="15" spans="1:39" x14ac:dyDescent="0.3">
      <c r="A15" s="142" t="s">
        <v>146</v>
      </c>
      <c r="B15" s="142">
        <v>6473</v>
      </c>
      <c r="C15" s="142">
        <v>6763</v>
      </c>
      <c r="D15" s="142">
        <v>7403</v>
      </c>
      <c r="E15" s="142">
        <v>7963</v>
      </c>
      <c r="F15" s="142">
        <v>9154</v>
      </c>
      <c r="G15" s="142">
        <v>9131</v>
      </c>
      <c r="H15" s="3">
        <v>9345</v>
      </c>
      <c r="I15" t="s">
        <v>146</v>
      </c>
      <c r="J15">
        <v>11273</v>
      </c>
      <c r="K15">
        <v>11313</v>
      </c>
      <c r="L15">
        <v>11272</v>
      </c>
      <c r="M15">
        <v>11142</v>
      </c>
      <c r="N15">
        <v>11835</v>
      </c>
      <c r="O15">
        <v>11463</v>
      </c>
      <c r="P15" s="3">
        <v>11683</v>
      </c>
      <c r="Q15" t="s">
        <v>146</v>
      </c>
      <c r="R15">
        <v>2902</v>
      </c>
      <c r="S15">
        <v>2949</v>
      </c>
      <c r="T15">
        <v>3036</v>
      </c>
      <c r="U15">
        <v>3147</v>
      </c>
      <c r="V15">
        <v>3523</v>
      </c>
      <c r="W15">
        <v>3495</v>
      </c>
      <c r="X15" s="3">
        <v>3562</v>
      </c>
      <c r="Y15" t="s">
        <v>146</v>
      </c>
      <c r="Z15">
        <v>3241</v>
      </c>
      <c r="AA15">
        <v>3370</v>
      </c>
      <c r="AB15">
        <v>3625</v>
      </c>
      <c r="AC15">
        <v>3665</v>
      </c>
      <c r="AD15">
        <v>3543</v>
      </c>
      <c r="AE15">
        <v>3410</v>
      </c>
      <c r="AF15" s="3">
        <v>3428</v>
      </c>
      <c r="AG15" t="s">
        <v>146</v>
      </c>
      <c r="AH15">
        <v>532</v>
      </c>
      <c r="AI15">
        <v>503</v>
      </c>
      <c r="AJ15">
        <v>409</v>
      </c>
      <c r="AK15">
        <v>980</v>
      </c>
      <c r="AL15">
        <v>1737</v>
      </c>
      <c r="AM15">
        <v>2457</v>
      </c>
    </row>
    <row r="16" spans="1:39" x14ac:dyDescent="0.3">
      <c r="A16" s="142" t="s">
        <v>147</v>
      </c>
      <c r="B16" s="142">
        <v>2855</v>
      </c>
      <c r="C16" s="142">
        <v>2988</v>
      </c>
      <c r="D16" s="142">
        <v>3012</v>
      </c>
      <c r="E16" s="142">
        <v>2984</v>
      </c>
      <c r="F16" s="142">
        <v>3525</v>
      </c>
      <c r="G16" s="142">
        <v>3829</v>
      </c>
      <c r="H16" s="3">
        <v>3831</v>
      </c>
      <c r="I16" t="s">
        <v>147</v>
      </c>
      <c r="J16">
        <v>7783</v>
      </c>
      <c r="K16">
        <v>7977</v>
      </c>
      <c r="L16">
        <v>8176</v>
      </c>
      <c r="M16">
        <v>8208</v>
      </c>
      <c r="N16">
        <v>8260</v>
      </c>
      <c r="O16">
        <v>8034</v>
      </c>
      <c r="P16" s="3">
        <v>8117</v>
      </c>
      <c r="Q16" t="s">
        <v>147</v>
      </c>
      <c r="R16">
        <v>2467</v>
      </c>
      <c r="S16">
        <v>2629</v>
      </c>
      <c r="T16">
        <v>2798</v>
      </c>
      <c r="U16">
        <v>2760</v>
      </c>
      <c r="V16">
        <v>2602</v>
      </c>
      <c r="W16">
        <v>2534</v>
      </c>
      <c r="X16" s="3">
        <v>2547</v>
      </c>
      <c r="Y16" t="s">
        <v>147</v>
      </c>
      <c r="Z16">
        <v>1607</v>
      </c>
      <c r="AA16">
        <v>1662</v>
      </c>
      <c r="AB16">
        <v>1778</v>
      </c>
      <c r="AC16">
        <v>1692</v>
      </c>
      <c r="AD16">
        <v>1729</v>
      </c>
      <c r="AE16">
        <v>1696</v>
      </c>
      <c r="AF16" s="3">
        <v>1907</v>
      </c>
      <c r="AG16" t="s">
        <v>147</v>
      </c>
      <c r="AH16">
        <v>314</v>
      </c>
      <c r="AI16">
        <v>315</v>
      </c>
      <c r="AJ16">
        <v>306</v>
      </c>
      <c r="AK16">
        <v>375</v>
      </c>
      <c r="AL16">
        <v>637</v>
      </c>
      <c r="AM16">
        <v>1194</v>
      </c>
    </row>
    <row r="17" spans="1:39" x14ac:dyDescent="0.3">
      <c r="A17" s="142" t="s">
        <v>148</v>
      </c>
      <c r="B17" s="142">
        <v>1132</v>
      </c>
      <c r="C17" s="142">
        <v>994</v>
      </c>
      <c r="D17" s="142">
        <v>898</v>
      </c>
      <c r="E17" s="142">
        <v>916</v>
      </c>
      <c r="F17" s="142">
        <v>1134</v>
      </c>
      <c r="G17" s="142">
        <v>1049</v>
      </c>
      <c r="H17" s="3">
        <v>1315</v>
      </c>
      <c r="I17" t="s">
        <v>148</v>
      </c>
      <c r="J17">
        <v>2999</v>
      </c>
      <c r="K17">
        <v>3046</v>
      </c>
      <c r="L17">
        <v>3164</v>
      </c>
      <c r="M17">
        <v>3106</v>
      </c>
      <c r="N17">
        <v>3107</v>
      </c>
      <c r="O17">
        <v>3280</v>
      </c>
      <c r="P17" s="3">
        <v>3774</v>
      </c>
      <c r="Q17" t="s">
        <v>148</v>
      </c>
      <c r="R17">
        <v>800</v>
      </c>
      <c r="S17">
        <v>805</v>
      </c>
      <c r="T17">
        <v>926</v>
      </c>
      <c r="U17">
        <v>883</v>
      </c>
      <c r="V17">
        <v>857</v>
      </c>
      <c r="W17">
        <v>1000</v>
      </c>
      <c r="X17" s="3">
        <v>1162</v>
      </c>
      <c r="Y17" t="s">
        <v>148</v>
      </c>
      <c r="Z17">
        <v>516</v>
      </c>
      <c r="AA17">
        <v>580</v>
      </c>
      <c r="AB17">
        <v>563</v>
      </c>
      <c r="AC17">
        <v>478</v>
      </c>
      <c r="AD17">
        <v>500</v>
      </c>
      <c r="AE17">
        <v>617</v>
      </c>
      <c r="AF17" s="3">
        <v>636</v>
      </c>
      <c r="AG17" t="s">
        <v>148</v>
      </c>
      <c r="AH17">
        <v>74</v>
      </c>
      <c r="AI17">
        <v>70</v>
      </c>
      <c r="AJ17">
        <v>47</v>
      </c>
      <c r="AK17">
        <v>117</v>
      </c>
      <c r="AL17">
        <v>212</v>
      </c>
      <c r="AM17">
        <v>335</v>
      </c>
    </row>
    <row r="18" spans="1:39" x14ac:dyDescent="0.3">
      <c r="A18" s="142" t="s">
        <v>44</v>
      </c>
      <c r="B18" s="142">
        <v>341</v>
      </c>
      <c r="C18" s="142">
        <v>404</v>
      </c>
      <c r="D18" s="142">
        <v>486</v>
      </c>
      <c r="E18" s="142">
        <v>504</v>
      </c>
      <c r="F18" s="142">
        <v>529</v>
      </c>
      <c r="G18" s="142">
        <v>409</v>
      </c>
      <c r="H18" s="3">
        <v>411</v>
      </c>
      <c r="I18" t="s">
        <v>44</v>
      </c>
      <c r="J18">
        <v>1557</v>
      </c>
      <c r="K18">
        <v>1521</v>
      </c>
      <c r="L18">
        <v>1571</v>
      </c>
      <c r="M18">
        <v>1676</v>
      </c>
      <c r="N18">
        <v>1373</v>
      </c>
      <c r="O18">
        <v>1308</v>
      </c>
      <c r="P18" s="3">
        <v>1283</v>
      </c>
      <c r="Q18" t="s">
        <v>44</v>
      </c>
      <c r="R18">
        <v>321</v>
      </c>
      <c r="S18">
        <v>332</v>
      </c>
      <c r="T18">
        <v>394</v>
      </c>
      <c r="U18">
        <v>486</v>
      </c>
      <c r="V18">
        <v>488</v>
      </c>
      <c r="W18">
        <v>466</v>
      </c>
      <c r="X18" s="3">
        <v>542</v>
      </c>
      <c r="Y18" t="s">
        <v>44</v>
      </c>
      <c r="Z18">
        <v>134</v>
      </c>
      <c r="AA18">
        <v>154</v>
      </c>
      <c r="AB18">
        <v>195</v>
      </c>
      <c r="AC18">
        <v>226</v>
      </c>
      <c r="AD18">
        <v>230</v>
      </c>
      <c r="AE18">
        <v>275</v>
      </c>
      <c r="AF18" s="3">
        <v>279</v>
      </c>
      <c r="AG18" t="s">
        <v>44</v>
      </c>
      <c r="AH18">
        <v>13</v>
      </c>
      <c r="AI18">
        <v>34</v>
      </c>
      <c r="AJ18">
        <v>59</v>
      </c>
      <c r="AK18">
        <v>54</v>
      </c>
      <c r="AL18">
        <v>40</v>
      </c>
      <c r="AM18">
        <v>58</v>
      </c>
    </row>
    <row r="19" spans="1:39" x14ac:dyDescent="0.3">
      <c r="A19" s="142" t="s">
        <v>149</v>
      </c>
      <c r="B19" s="142">
        <v>100981</v>
      </c>
      <c r="C19" s="142">
        <v>100308</v>
      </c>
      <c r="D19" s="142">
        <v>100703</v>
      </c>
      <c r="E19" s="142">
        <v>100743</v>
      </c>
      <c r="F19" s="142">
        <v>102614</v>
      </c>
      <c r="G19" s="142">
        <v>101393</v>
      </c>
      <c r="H19" s="3">
        <v>99576</v>
      </c>
      <c r="I19" t="s">
        <v>149</v>
      </c>
      <c r="J19">
        <v>64537</v>
      </c>
      <c r="K19">
        <v>65170</v>
      </c>
      <c r="L19">
        <v>63826</v>
      </c>
      <c r="M19">
        <v>63323</v>
      </c>
      <c r="N19">
        <v>62379</v>
      </c>
      <c r="O19">
        <v>60453</v>
      </c>
      <c r="P19" s="3">
        <v>60059</v>
      </c>
      <c r="Q19" t="s">
        <v>149</v>
      </c>
      <c r="R19">
        <v>32195</v>
      </c>
      <c r="S19">
        <v>32120</v>
      </c>
      <c r="T19">
        <v>31795</v>
      </c>
      <c r="U19">
        <v>31251</v>
      </c>
      <c r="V19">
        <v>33236</v>
      </c>
      <c r="W19">
        <v>32105</v>
      </c>
      <c r="X19" s="3">
        <v>31578</v>
      </c>
      <c r="Y19" t="s">
        <v>149</v>
      </c>
      <c r="Z19">
        <v>32197</v>
      </c>
      <c r="AA19">
        <v>31611</v>
      </c>
      <c r="AB19">
        <v>30998</v>
      </c>
      <c r="AC19">
        <v>31197</v>
      </c>
      <c r="AD19">
        <v>30516</v>
      </c>
      <c r="AE19">
        <v>30238</v>
      </c>
      <c r="AF19" s="3">
        <v>29695</v>
      </c>
      <c r="AG19" t="s">
        <v>149</v>
      </c>
      <c r="AH19">
        <v>11279</v>
      </c>
      <c r="AI19">
        <v>11307</v>
      </c>
      <c r="AJ19">
        <v>10910</v>
      </c>
      <c r="AK19">
        <v>15429</v>
      </c>
      <c r="AL19">
        <v>20383</v>
      </c>
      <c r="AM19">
        <v>26210</v>
      </c>
    </row>
    <row r="20" spans="1:39" x14ac:dyDescent="0.3">
      <c r="A20" s="142" t="s">
        <v>13</v>
      </c>
      <c r="B20" s="142">
        <v>9528</v>
      </c>
      <c r="C20" s="142">
        <v>9321</v>
      </c>
      <c r="D20" s="142">
        <v>8793</v>
      </c>
      <c r="E20" s="142">
        <v>8422</v>
      </c>
      <c r="F20" s="142">
        <v>7724</v>
      </c>
      <c r="G20" s="142">
        <v>6717</v>
      </c>
      <c r="H20" s="3">
        <v>5875</v>
      </c>
      <c r="I20" t="s">
        <v>13</v>
      </c>
      <c r="J20">
        <v>2497</v>
      </c>
      <c r="K20">
        <v>2664</v>
      </c>
      <c r="L20">
        <v>2661</v>
      </c>
      <c r="M20">
        <v>2603</v>
      </c>
      <c r="N20">
        <v>2452</v>
      </c>
      <c r="O20">
        <v>2193</v>
      </c>
      <c r="P20" s="3">
        <v>2253</v>
      </c>
      <c r="Q20" t="s">
        <v>13</v>
      </c>
      <c r="R20">
        <v>1500</v>
      </c>
      <c r="S20">
        <v>1581</v>
      </c>
      <c r="T20">
        <v>1581</v>
      </c>
      <c r="U20">
        <v>1695</v>
      </c>
      <c r="V20">
        <v>1614</v>
      </c>
      <c r="W20">
        <v>1154</v>
      </c>
      <c r="X20" s="3">
        <v>895</v>
      </c>
      <c r="Y20" t="s">
        <v>13</v>
      </c>
      <c r="Z20">
        <v>2232</v>
      </c>
      <c r="AA20">
        <v>2021</v>
      </c>
      <c r="AB20">
        <v>1686</v>
      </c>
      <c r="AC20">
        <v>1525</v>
      </c>
      <c r="AD20">
        <v>1736</v>
      </c>
      <c r="AE20">
        <v>1504</v>
      </c>
      <c r="AF20" s="3">
        <v>1486</v>
      </c>
      <c r="AG20" t="s">
        <v>13</v>
      </c>
      <c r="AH20">
        <v>1572</v>
      </c>
      <c r="AI20">
        <v>1606</v>
      </c>
      <c r="AJ20">
        <v>1507</v>
      </c>
      <c r="AK20">
        <v>1701</v>
      </c>
      <c r="AL20">
        <v>1873</v>
      </c>
      <c r="AM20">
        <v>2227</v>
      </c>
    </row>
    <row r="21" spans="1:39" x14ac:dyDescent="0.3">
      <c r="A21" s="142" t="s">
        <v>15</v>
      </c>
      <c r="B21" s="142">
        <v>8615</v>
      </c>
      <c r="C21" s="142">
        <v>8293</v>
      </c>
      <c r="D21" s="142">
        <v>8287</v>
      </c>
      <c r="E21" s="142">
        <v>7551</v>
      </c>
      <c r="F21" s="142">
        <v>7245</v>
      </c>
      <c r="G21" s="142">
        <v>6704</v>
      </c>
      <c r="H21" s="3">
        <v>6294</v>
      </c>
      <c r="I21" t="s">
        <v>15</v>
      </c>
      <c r="J21">
        <v>1948</v>
      </c>
      <c r="K21">
        <v>1665</v>
      </c>
      <c r="L21">
        <v>1453</v>
      </c>
      <c r="M21">
        <v>1457</v>
      </c>
      <c r="N21">
        <v>1500</v>
      </c>
      <c r="O21">
        <v>1581</v>
      </c>
      <c r="P21" s="3">
        <v>1717</v>
      </c>
      <c r="Q21" t="s">
        <v>15</v>
      </c>
      <c r="R21">
        <v>1098</v>
      </c>
      <c r="S21">
        <v>1265</v>
      </c>
      <c r="T21">
        <v>1254</v>
      </c>
      <c r="U21">
        <v>1432</v>
      </c>
      <c r="V21">
        <v>1578</v>
      </c>
      <c r="W21">
        <v>1421</v>
      </c>
      <c r="X21" s="3">
        <v>1236</v>
      </c>
      <c r="Y21" t="s">
        <v>15</v>
      </c>
      <c r="Z21">
        <v>2110</v>
      </c>
      <c r="AA21">
        <v>1896</v>
      </c>
      <c r="AB21">
        <v>1914</v>
      </c>
      <c r="AC21">
        <v>1819</v>
      </c>
      <c r="AD21">
        <v>1516</v>
      </c>
      <c r="AE21">
        <v>1427</v>
      </c>
      <c r="AF21" s="3">
        <v>1590</v>
      </c>
      <c r="AG21" t="s">
        <v>15</v>
      </c>
      <c r="AH21">
        <v>1075</v>
      </c>
      <c r="AI21">
        <v>1085</v>
      </c>
      <c r="AJ21">
        <v>1253</v>
      </c>
      <c r="AK21">
        <v>1398</v>
      </c>
      <c r="AL21">
        <v>1571</v>
      </c>
      <c r="AM21">
        <v>1977</v>
      </c>
    </row>
    <row r="22" spans="1:39" x14ac:dyDescent="0.3">
      <c r="A22" s="142" t="s">
        <v>17</v>
      </c>
      <c r="B22" s="142">
        <v>7915</v>
      </c>
      <c r="C22" s="142">
        <v>7702</v>
      </c>
      <c r="D22" s="142">
        <v>7561</v>
      </c>
      <c r="E22" s="142">
        <v>7596</v>
      </c>
      <c r="F22" s="142">
        <v>7691</v>
      </c>
      <c r="G22" s="142">
        <v>7470</v>
      </c>
      <c r="H22" s="3">
        <v>7071</v>
      </c>
      <c r="I22" t="s">
        <v>17</v>
      </c>
      <c r="J22">
        <v>2216</v>
      </c>
      <c r="K22">
        <v>2426</v>
      </c>
      <c r="L22">
        <v>2356</v>
      </c>
      <c r="M22">
        <v>2756</v>
      </c>
      <c r="N22">
        <v>2670</v>
      </c>
      <c r="O22">
        <v>2363</v>
      </c>
      <c r="P22" s="3">
        <v>2113</v>
      </c>
      <c r="Q22" t="s">
        <v>17</v>
      </c>
      <c r="R22">
        <v>1370</v>
      </c>
      <c r="S22">
        <v>1391</v>
      </c>
      <c r="T22">
        <v>1366</v>
      </c>
      <c r="U22">
        <v>1312</v>
      </c>
      <c r="V22">
        <v>1365</v>
      </c>
      <c r="W22">
        <v>1304</v>
      </c>
      <c r="X22" s="3">
        <v>1344</v>
      </c>
      <c r="Y22" t="s">
        <v>17</v>
      </c>
      <c r="Z22">
        <v>1697</v>
      </c>
      <c r="AA22">
        <v>1559</v>
      </c>
      <c r="AB22">
        <v>1322</v>
      </c>
      <c r="AC22">
        <v>1079</v>
      </c>
      <c r="AD22">
        <v>1110</v>
      </c>
      <c r="AE22">
        <v>1058</v>
      </c>
      <c r="AF22" s="3">
        <v>1028</v>
      </c>
      <c r="AG22" t="s">
        <v>17</v>
      </c>
      <c r="AH22">
        <v>963</v>
      </c>
      <c r="AI22">
        <v>971</v>
      </c>
      <c r="AJ22">
        <v>922</v>
      </c>
      <c r="AK22">
        <v>1214</v>
      </c>
      <c r="AL22">
        <v>1678</v>
      </c>
      <c r="AM22">
        <v>2137</v>
      </c>
    </row>
    <row r="23" spans="1:39" x14ac:dyDescent="0.3">
      <c r="A23" s="142" t="s">
        <v>137</v>
      </c>
      <c r="B23" s="142">
        <v>5730</v>
      </c>
      <c r="C23" s="142">
        <v>5119</v>
      </c>
      <c r="D23" s="142">
        <v>4918</v>
      </c>
      <c r="E23" s="142">
        <v>4848</v>
      </c>
      <c r="F23" s="142">
        <v>4878</v>
      </c>
      <c r="G23" s="142">
        <v>5152</v>
      </c>
      <c r="H23" s="3">
        <v>5354</v>
      </c>
      <c r="I23" t="s">
        <v>137</v>
      </c>
      <c r="J23">
        <v>1345</v>
      </c>
      <c r="K23">
        <v>1321</v>
      </c>
      <c r="L23">
        <v>1180</v>
      </c>
      <c r="M23">
        <v>956</v>
      </c>
      <c r="N23">
        <v>984</v>
      </c>
      <c r="O23">
        <v>883</v>
      </c>
      <c r="P23" s="3">
        <v>863</v>
      </c>
      <c r="Q23" t="s">
        <v>137</v>
      </c>
      <c r="R23">
        <v>1298</v>
      </c>
      <c r="S23">
        <v>955</v>
      </c>
      <c r="T23">
        <v>862</v>
      </c>
      <c r="U23">
        <v>853</v>
      </c>
      <c r="V23">
        <v>840</v>
      </c>
      <c r="W23">
        <v>842</v>
      </c>
      <c r="X23" s="3">
        <v>901</v>
      </c>
      <c r="Y23" t="s">
        <v>137</v>
      </c>
      <c r="Z23">
        <v>1433</v>
      </c>
      <c r="AA23">
        <v>1384</v>
      </c>
      <c r="AB23">
        <v>1217</v>
      </c>
      <c r="AC23">
        <v>1165</v>
      </c>
      <c r="AD23">
        <v>1188</v>
      </c>
      <c r="AE23">
        <v>1326</v>
      </c>
      <c r="AF23" s="3">
        <v>1343</v>
      </c>
      <c r="AG23" t="s">
        <v>137</v>
      </c>
      <c r="AH23">
        <v>668</v>
      </c>
      <c r="AI23">
        <v>633</v>
      </c>
      <c r="AJ23">
        <v>530</v>
      </c>
      <c r="AK23">
        <v>593</v>
      </c>
      <c r="AL23">
        <v>704</v>
      </c>
      <c r="AM23">
        <v>1124</v>
      </c>
    </row>
    <row r="24" spans="1:39" x14ac:dyDescent="0.3">
      <c r="A24" s="142" t="s">
        <v>140</v>
      </c>
      <c r="B24" s="142">
        <v>3345</v>
      </c>
      <c r="C24" s="142">
        <v>3491</v>
      </c>
      <c r="D24" s="142">
        <v>3347</v>
      </c>
      <c r="E24" s="142">
        <v>3677</v>
      </c>
      <c r="F24" s="142">
        <v>3685</v>
      </c>
      <c r="G24" s="142">
        <v>3749</v>
      </c>
      <c r="H24" s="3">
        <v>3383</v>
      </c>
      <c r="I24" t="s">
        <v>140</v>
      </c>
      <c r="J24">
        <v>1051</v>
      </c>
      <c r="K24">
        <v>1093</v>
      </c>
      <c r="L24">
        <v>1090</v>
      </c>
      <c r="M24">
        <v>1183</v>
      </c>
      <c r="N24">
        <v>1348</v>
      </c>
      <c r="O24">
        <v>1517</v>
      </c>
      <c r="P24" s="3">
        <v>1513</v>
      </c>
      <c r="Q24" t="s">
        <v>140</v>
      </c>
      <c r="R24">
        <v>681</v>
      </c>
      <c r="S24">
        <v>651</v>
      </c>
      <c r="T24">
        <v>544</v>
      </c>
      <c r="U24">
        <v>539</v>
      </c>
      <c r="V24">
        <v>497</v>
      </c>
      <c r="W24">
        <v>652</v>
      </c>
      <c r="X24" s="3">
        <v>620</v>
      </c>
      <c r="Y24" t="s">
        <v>140</v>
      </c>
      <c r="Z24">
        <v>971</v>
      </c>
      <c r="AA24">
        <v>1035</v>
      </c>
      <c r="AB24">
        <v>875</v>
      </c>
      <c r="AC24">
        <v>980</v>
      </c>
      <c r="AD24">
        <v>717</v>
      </c>
      <c r="AE24">
        <v>663</v>
      </c>
      <c r="AF24" s="3">
        <v>524</v>
      </c>
      <c r="AG24" t="s">
        <v>140</v>
      </c>
      <c r="AH24">
        <v>373</v>
      </c>
      <c r="AI24">
        <v>302</v>
      </c>
      <c r="AJ24">
        <v>274</v>
      </c>
      <c r="AK24">
        <v>468</v>
      </c>
      <c r="AL24">
        <v>643</v>
      </c>
      <c r="AM24">
        <v>883</v>
      </c>
    </row>
    <row r="25" spans="1:39" x14ac:dyDescent="0.3">
      <c r="A25" s="142" t="s">
        <v>21</v>
      </c>
      <c r="B25" s="142">
        <v>9375</v>
      </c>
      <c r="C25" s="142">
        <v>9157</v>
      </c>
      <c r="D25" s="142">
        <v>9407</v>
      </c>
      <c r="E25" s="142">
        <v>9127</v>
      </c>
      <c r="F25" s="142">
        <v>9785</v>
      </c>
      <c r="G25" s="142">
        <v>9910</v>
      </c>
      <c r="H25" s="3">
        <v>9238</v>
      </c>
      <c r="I25" t="s">
        <v>21</v>
      </c>
      <c r="J25">
        <v>3739</v>
      </c>
      <c r="K25">
        <v>3692</v>
      </c>
      <c r="L25">
        <v>3486</v>
      </c>
      <c r="M25">
        <v>3148</v>
      </c>
      <c r="N25">
        <v>3047</v>
      </c>
      <c r="O25">
        <v>3065</v>
      </c>
      <c r="P25" s="3">
        <v>2864</v>
      </c>
      <c r="Q25" t="s">
        <v>21</v>
      </c>
      <c r="R25">
        <v>2107</v>
      </c>
      <c r="S25">
        <v>2272</v>
      </c>
      <c r="T25">
        <v>2149</v>
      </c>
      <c r="U25">
        <v>1971</v>
      </c>
      <c r="V25">
        <v>2121</v>
      </c>
      <c r="W25">
        <v>1872</v>
      </c>
      <c r="X25" s="3">
        <v>1776</v>
      </c>
      <c r="Y25" t="s">
        <v>21</v>
      </c>
      <c r="Z25">
        <v>2568</v>
      </c>
      <c r="AA25">
        <v>2147</v>
      </c>
      <c r="AB25">
        <v>2047</v>
      </c>
      <c r="AC25">
        <v>2110</v>
      </c>
      <c r="AD25">
        <v>1979</v>
      </c>
      <c r="AE25">
        <v>1940</v>
      </c>
      <c r="AF25" s="3">
        <v>1969</v>
      </c>
      <c r="AG25" t="s">
        <v>21</v>
      </c>
      <c r="AH25">
        <v>1244</v>
      </c>
      <c r="AI25">
        <v>1171</v>
      </c>
      <c r="AJ25">
        <v>1083</v>
      </c>
      <c r="AK25">
        <v>1290</v>
      </c>
      <c r="AL25">
        <v>1456</v>
      </c>
      <c r="AM25">
        <v>1911</v>
      </c>
    </row>
    <row r="26" spans="1:39" x14ac:dyDescent="0.3">
      <c r="A26" s="142" t="s">
        <v>23</v>
      </c>
      <c r="B26" s="142">
        <v>9332</v>
      </c>
      <c r="C26" s="142">
        <v>9535</v>
      </c>
      <c r="D26" s="142">
        <v>9985</v>
      </c>
      <c r="E26" s="142">
        <v>10504</v>
      </c>
      <c r="F26" s="142">
        <v>10414</v>
      </c>
      <c r="G26" s="142">
        <v>10735</v>
      </c>
      <c r="H26" s="3">
        <v>10096</v>
      </c>
      <c r="I26" t="s">
        <v>23</v>
      </c>
      <c r="J26">
        <v>4801</v>
      </c>
      <c r="K26">
        <v>5215</v>
      </c>
      <c r="L26">
        <v>5331</v>
      </c>
      <c r="M26">
        <v>5230</v>
      </c>
      <c r="N26">
        <v>5197</v>
      </c>
      <c r="O26">
        <v>4735</v>
      </c>
      <c r="P26" s="3">
        <v>4396</v>
      </c>
      <c r="Q26" t="s">
        <v>23</v>
      </c>
      <c r="R26">
        <v>2898</v>
      </c>
      <c r="S26">
        <v>3071</v>
      </c>
      <c r="T26">
        <v>2671</v>
      </c>
      <c r="U26">
        <v>2771</v>
      </c>
      <c r="V26">
        <v>2947</v>
      </c>
      <c r="W26">
        <v>2481</v>
      </c>
      <c r="X26" s="3">
        <v>2182</v>
      </c>
      <c r="Y26" t="s">
        <v>23</v>
      </c>
      <c r="Z26">
        <v>2906</v>
      </c>
      <c r="AA26">
        <v>2827</v>
      </c>
      <c r="AB26">
        <v>2696</v>
      </c>
      <c r="AC26">
        <v>2693</v>
      </c>
      <c r="AD26">
        <v>2814</v>
      </c>
      <c r="AE26">
        <v>2569</v>
      </c>
      <c r="AF26" s="3">
        <v>2473</v>
      </c>
      <c r="AG26" t="s">
        <v>23</v>
      </c>
      <c r="AH26">
        <v>970</v>
      </c>
      <c r="AI26">
        <v>944</v>
      </c>
      <c r="AJ26">
        <v>949</v>
      </c>
      <c r="AK26">
        <v>1646</v>
      </c>
      <c r="AL26">
        <v>1972</v>
      </c>
      <c r="AM26">
        <v>2515</v>
      </c>
    </row>
    <row r="27" spans="1:39" x14ac:dyDescent="0.3">
      <c r="A27" s="142" t="s">
        <v>25</v>
      </c>
      <c r="B27" s="142">
        <v>7769</v>
      </c>
      <c r="C27" s="142">
        <v>7725</v>
      </c>
      <c r="D27" s="142">
        <v>8228</v>
      </c>
      <c r="E27" s="142">
        <v>7892</v>
      </c>
      <c r="F27" s="142">
        <v>8227</v>
      </c>
      <c r="G27" s="142">
        <v>8165</v>
      </c>
      <c r="H27" s="3">
        <v>8360</v>
      </c>
      <c r="I27" t="s">
        <v>25</v>
      </c>
      <c r="J27">
        <v>4921</v>
      </c>
      <c r="K27">
        <v>4901</v>
      </c>
      <c r="L27">
        <v>4689</v>
      </c>
      <c r="M27">
        <v>4948</v>
      </c>
      <c r="N27">
        <v>4630</v>
      </c>
      <c r="O27">
        <v>4589</v>
      </c>
      <c r="P27" s="3">
        <v>4797</v>
      </c>
      <c r="Q27" t="s">
        <v>25</v>
      </c>
      <c r="R27">
        <v>3047</v>
      </c>
      <c r="S27">
        <v>3067</v>
      </c>
      <c r="T27">
        <v>3113</v>
      </c>
      <c r="U27">
        <v>2678</v>
      </c>
      <c r="V27">
        <v>3042</v>
      </c>
      <c r="W27">
        <v>3048</v>
      </c>
      <c r="X27" s="3">
        <v>2839</v>
      </c>
      <c r="Y27" t="s">
        <v>25</v>
      </c>
      <c r="Z27">
        <v>2317</v>
      </c>
      <c r="AA27">
        <v>2489</v>
      </c>
      <c r="AB27">
        <v>2703</v>
      </c>
      <c r="AC27">
        <v>2500</v>
      </c>
      <c r="AD27">
        <v>2603</v>
      </c>
      <c r="AE27">
        <v>2810</v>
      </c>
      <c r="AF27" s="3">
        <v>2620</v>
      </c>
      <c r="AG27" t="s">
        <v>25</v>
      </c>
      <c r="AH27">
        <v>887</v>
      </c>
      <c r="AI27">
        <v>972</v>
      </c>
      <c r="AJ27">
        <v>925</v>
      </c>
      <c r="AK27">
        <v>1499</v>
      </c>
      <c r="AL27">
        <v>1901</v>
      </c>
      <c r="AM27">
        <v>2338</v>
      </c>
    </row>
    <row r="28" spans="1:39" x14ac:dyDescent="0.3">
      <c r="A28" s="142" t="s">
        <v>144</v>
      </c>
      <c r="B28" s="142">
        <v>14641</v>
      </c>
      <c r="C28" s="142">
        <v>14533</v>
      </c>
      <c r="D28" s="142">
        <v>14222</v>
      </c>
      <c r="E28" s="142">
        <v>14231</v>
      </c>
      <c r="F28" s="142">
        <v>13939</v>
      </c>
      <c r="G28" s="142">
        <v>13921</v>
      </c>
      <c r="H28" s="3">
        <v>13815</v>
      </c>
      <c r="I28" t="s">
        <v>144</v>
      </c>
      <c r="J28">
        <v>8181</v>
      </c>
      <c r="K28">
        <v>8275</v>
      </c>
      <c r="L28">
        <v>8314</v>
      </c>
      <c r="M28">
        <v>8298</v>
      </c>
      <c r="N28">
        <v>8477</v>
      </c>
      <c r="O28">
        <v>7621</v>
      </c>
      <c r="P28" s="3">
        <v>7711</v>
      </c>
      <c r="Q28" t="s">
        <v>144</v>
      </c>
      <c r="R28">
        <v>4984</v>
      </c>
      <c r="S28">
        <v>4598</v>
      </c>
      <c r="T28">
        <v>4383</v>
      </c>
      <c r="U28">
        <v>4660</v>
      </c>
      <c r="V28">
        <v>5037</v>
      </c>
      <c r="W28">
        <v>4955</v>
      </c>
      <c r="X28" s="3">
        <v>5225</v>
      </c>
      <c r="Y28" t="s">
        <v>144</v>
      </c>
      <c r="Z28">
        <v>4427</v>
      </c>
      <c r="AA28">
        <v>4327</v>
      </c>
      <c r="AB28">
        <v>4401</v>
      </c>
      <c r="AC28">
        <v>4455</v>
      </c>
      <c r="AD28">
        <v>4416</v>
      </c>
      <c r="AE28">
        <v>4180</v>
      </c>
      <c r="AF28" s="3">
        <v>3887</v>
      </c>
      <c r="AG28" t="s">
        <v>144</v>
      </c>
      <c r="AH28">
        <v>1265</v>
      </c>
      <c r="AI28">
        <v>1262</v>
      </c>
      <c r="AJ28">
        <v>1191</v>
      </c>
      <c r="AK28">
        <v>1856</v>
      </c>
      <c r="AL28">
        <v>2238</v>
      </c>
      <c r="AM28">
        <v>2861</v>
      </c>
    </row>
    <row r="29" spans="1:39" x14ac:dyDescent="0.3">
      <c r="A29" s="142" t="s">
        <v>145</v>
      </c>
      <c r="B29" s="142">
        <v>12105</v>
      </c>
      <c r="C29" s="142">
        <v>12188</v>
      </c>
      <c r="D29" s="142">
        <v>12257</v>
      </c>
      <c r="E29" s="142">
        <v>11956</v>
      </c>
      <c r="F29" s="142">
        <v>12492</v>
      </c>
      <c r="G29" s="142">
        <v>12326</v>
      </c>
      <c r="H29" s="3">
        <v>12859</v>
      </c>
      <c r="I29" t="s">
        <v>145</v>
      </c>
      <c r="J29">
        <v>9767</v>
      </c>
      <c r="K29">
        <v>9795</v>
      </c>
      <c r="L29">
        <v>9553</v>
      </c>
      <c r="M29">
        <v>8854</v>
      </c>
      <c r="N29">
        <v>8482</v>
      </c>
      <c r="O29">
        <v>8394</v>
      </c>
      <c r="P29" s="3">
        <v>8155</v>
      </c>
      <c r="Q29" t="s">
        <v>145</v>
      </c>
      <c r="R29">
        <v>4374</v>
      </c>
      <c r="S29">
        <v>4144</v>
      </c>
      <c r="T29">
        <v>4085</v>
      </c>
      <c r="U29">
        <v>3771</v>
      </c>
      <c r="V29">
        <v>3963</v>
      </c>
      <c r="W29">
        <v>3832</v>
      </c>
      <c r="X29" s="3">
        <v>3954</v>
      </c>
      <c r="Y29" t="s">
        <v>145</v>
      </c>
      <c r="Z29">
        <v>4395</v>
      </c>
      <c r="AA29">
        <v>4775</v>
      </c>
      <c r="AB29">
        <v>4534</v>
      </c>
      <c r="AC29">
        <v>4576</v>
      </c>
      <c r="AD29">
        <v>4446</v>
      </c>
      <c r="AE29">
        <v>4410</v>
      </c>
      <c r="AF29" s="3">
        <v>3841</v>
      </c>
      <c r="AG29" t="s">
        <v>145</v>
      </c>
      <c r="AH29">
        <v>1026</v>
      </c>
      <c r="AI29">
        <v>1060</v>
      </c>
      <c r="AJ29">
        <v>1016</v>
      </c>
      <c r="AK29">
        <v>1261</v>
      </c>
      <c r="AL29">
        <v>2098</v>
      </c>
      <c r="AM29">
        <v>2756</v>
      </c>
    </row>
    <row r="30" spans="1:39" x14ac:dyDescent="0.3">
      <c r="A30" s="142" t="s">
        <v>146</v>
      </c>
      <c r="B30" s="142">
        <v>7590</v>
      </c>
      <c r="C30" s="142">
        <v>7811</v>
      </c>
      <c r="D30" s="142">
        <v>8221</v>
      </c>
      <c r="E30" s="142">
        <v>9342</v>
      </c>
      <c r="F30" s="142">
        <v>9915</v>
      </c>
      <c r="G30" s="142">
        <v>9611</v>
      </c>
      <c r="H30" s="3">
        <v>9928</v>
      </c>
      <c r="I30" t="s">
        <v>146</v>
      </c>
      <c r="J30">
        <v>10374</v>
      </c>
      <c r="K30">
        <v>10393</v>
      </c>
      <c r="L30">
        <v>9916</v>
      </c>
      <c r="M30">
        <v>9611</v>
      </c>
      <c r="N30">
        <v>9474</v>
      </c>
      <c r="O30">
        <v>9155</v>
      </c>
      <c r="P30" s="3">
        <v>8809</v>
      </c>
      <c r="Q30" t="s">
        <v>146</v>
      </c>
      <c r="R30">
        <v>4072</v>
      </c>
      <c r="S30">
        <v>4198</v>
      </c>
      <c r="T30">
        <v>4413</v>
      </c>
      <c r="U30">
        <v>4145</v>
      </c>
      <c r="V30">
        <v>4316</v>
      </c>
      <c r="W30">
        <v>4255</v>
      </c>
      <c r="X30" s="3">
        <v>4139</v>
      </c>
      <c r="Y30" t="s">
        <v>146</v>
      </c>
      <c r="Z30">
        <v>3901</v>
      </c>
      <c r="AA30">
        <v>4007</v>
      </c>
      <c r="AB30">
        <v>4106</v>
      </c>
      <c r="AC30">
        <v>4463</v>
      </c>
      <c r="AD30">
        <v>4238</v>
      </c>
      <c r="AE30">
        <v>4175</v>
      </c>
      <c r="AF30" s="3">
        <v>4521</v>
      </c>
      <c r="AG30" t="s">
        <v>146</v>
      </c>
      <c r="AH30">
        <v>619</v>
      </c>
      <c r="AI30">
        <v>600</v>
      </c>
      <c r="AJ30">
        <v>607</v>
      </c>
      <c r="AK30">
        <v>1522</v>
      </c>
      <c r="AL30">
        <v>2482</v>
      </c>
      <c r="AM30">
        <v>2936</v>
      </c>
    </row>
    <row r="31" spans="1:39" x14ac:dyDescent="0.3">
      <c r="A31" s="142" t="s">
        <v>147</v>
      </c>
      <c r="B31" s="142">
        <v>3197</v>
      </c>
      <c r="C31" s="142">
        <v>3406</v>
      </c>
      <c r="D31" s="142">
        <v>3457</v>
      </c>
      <c r="E31" s="142">
        <v>3574</v>
      </c>
      <c r="F31" s="142">
        <v>4300</v>
      </c>
      <c r="G31" s="142">
        <v>4541</v>
      </c>
      <c r="H31" s="3">
        <v>4893</v>
      </c>
      <c r="I31" t="s">
        <v>147</v>
      </c>
      <c r="J31">
        <v>7586</v>
      </c>
      <c r="K31">
        <v>7596</v>
      </c>
      <c r="L31">
        <v>7620</v>
      </c>
      <c r="M31">
        <v>8288</v>
      </c>
      <c r="N31">
        <v>8095</v>
      </c>
      <c r="O31">
        <v>8114</v>
      </c>
      <c r="P31" s="3">
        <v>8597</v>
      </c>
      <c r="Q31" t="s">
        <v>147</v>
      </c>
      <c r="R31">
        <v>2905</v>
      </c>
      <c r="S31">
        <v>3005</v>
      </c>
      <c r="T31">
        <v>3187</v>
      </c>
      <c r="U31">
        <v>3296</v>
      </c>
      <c r="V31">
        <v>3549</v>
      </c>
      <c r="W31">
        <v>3624</v>
      </c>
      <c r="X31" s="3">
        <v>3705</v>
      </c>
      <c r="Y31" t="s">
        <v>147</v>
      </c>
      <c r="Z31">
        <v>1839</v>
      </c>
      <c r="AA31">
        <v>1754</v>
      </c>
      <c r="AB31">
        <v>2052</v>
      </c>
      <c r="AC31">
        <v>2367</v>
      </c>
      <c r="AD31">
        <v>2419</v>
      </c>
      <c r="AE31">
        <v>2781</v>
      </c>
      <c r="AF31" s="3">
        <v>2889</v>
      </c>
      <c r="AG31" t="s">
        <v>147</v>
      </c>
      <c r="AH31">
        <v>439</v>
      </c>
      <c r="AI31">
        <v>434</v>
      </c>
      <c r="AJ31">
        <v>387</v>
      </c>
      <c r="AK31">
        <v>640</v>
      </c>
      <c r="AL31">
        <v>1047</v>
      </c>
      <c r="AM31">
        <v>1545</v>
      </c>
    </row>
    <row r="32" spans="1:39" x14ac:dyDescent="0.3">
      <c r="A32" s="142" t="s">
        <v>148</v>
      </c>
      <c r="B32" s="142">
        <v>1200</v>
      </c>
      <c r="C32" s="142">
        <v>1365</v>
      </c>
      <c r="D32" s="142">
        <v>1434</v>
      </c>
      <c r="E32" s="142">
        <v>1338</v>
      </c>
      <c r="F32" s="142">
        <v>1579</v>
      </c>
      <c r="G32" s="142">
        <v>1413</v>
      </c>
      <c r="H32" s="3">
        <v>1554</v>
      </c>
      <c r="I32" t="s">
        <v>148</v>
      </c>
      <c r="J32">
        <v>3694</v>
      </c>
      <c r="K32">
        <v>3857</v>
      </c>
      <c r="L32">
        <v>3778</v>
      </c>
      <c r="M32">
        <v>3556</v>
      </c>
      <c r="N32">
        <v>3692</v>
      </c>
      <c r="O32">
        <v>4027</v>
      </c>
      <c r="P32" s="3">
        <v>4348</v>
      </c>
      <c r="Q32" t="s">
        <v>148</v>
      </c>
      <c r="R32">
        <v>1225</v>
      </c>
      <c r="S32">
        <v>1293</v>
      </c>
      <c r="T32">
        <v>1391</v>
      </c>
      <c r="U32">
        <v>1288</v>
      </c>
      <c r="V32">
        <v>1486</v>
      </c>
      <c r="W32">
        <v>1781</v>
      </c>
      <c r="X32" s="3">
        <v>1991</v>
      </c>
      <c r="Y32" t="s">
        <v>148</v>
      </c>
      <c r="Z32">
        <v>1078</v>
      </c>
      <c r="AA32">
        <v>999</v>
      </c>
      <c r="AB32">
        <v>941</v>
      </c>
      <c r="AC32">
        <v>974</v>
      </c>
      <c r="AD32">
        <v>948</v>
      </c>
      <c r="AE32">
        <v>991</v>
      </c>
      <c r="AF32" s="3">
        <v>1054</v>
      </c>
      <c r="AG32" t="s">
        <v>148</v>
      </c>
      <c r="AH32">
        <v>98</v>
      </c>
      <c r="AI32">
        <v>164</v>
      </c>
      <c r="AJ32">
        <v>161</v>
      </c>
      <c r="AK32">
        <v>192</v>
      </c>
      <c r="AL32">
        <v>467</v>
      </c>
      <c r="AM32">
        <v>531</v>
      </c>
    </row>
    <row r="33" spans="1:39" x14ac:dyDescent="0.3">
      <c r="A33" s="142" t="s">
        <v>44</v>
      </c>
      <c r="B33" s="142">
        <v>639</v>
      </c>
      <c r="C33" s="142">
        <v>662</v>
      </c>
      <c r="D33" s="142">
        <v>586</v>
      </c>
      <c r="E33" s="142">
        <v>685</v>
      </c>
      <c r="F33" s="142">
        <v>740</v>
      </c>
      <c r="G33" s="142">
        <v>979</v>
      </c>
      <c r="H33" s="3">
        <v>856</v>
      </c>
      <c r="I33" t="s">
        <v>44</v>
      </c>
      <c r="J33">
        <v>2417</v>
      </c>
      <c r="K33">
        <v>2277</v>
      </c>
      <c r="L33">
        <v>2399</v>
      </c>
      <c r="M33">
        <v>2435</v>
      </c>
      <c r="N33">
        <v>2331</v>
      </c>
      <c r="O33">
        <v>2216</v>
      </c>
      <c r="P33" s="3">
        <v>1923</v>
      </c>
      <c r="Q33" t="s">
        <v>44</v>
      </c>
      <c r="R33">
        <v>636</v>
      </c>
      <c r="S33">
        <v>629</v>
      </c>
      <c r="T33">
        <v>796</v>
      </c>
      <c r="U33">
        <v>840</v>
      </c>
      <c r="V33">
        <v>881</v>
      </c>
      <c r="W33">
        <v>884</v>
      </c>
      <c r="X33" s="3">
        <v>771</v>
      </c>
      <c r="Y33" t="s">
        <v>44</v>
      </c>
      <c r="Z33">
        <v>323</v>
      </c>
      <c r="AA33">
        <v>391</v>
      </c>
      <c r="AB33">
        <v>504</v>
      </c>
      <c r="AC33">
        <v>491</v>
      </c>
      <c r="AD33">
        <v>386</v>
      </c>
      <c r="AE33">
        <v>404</v>
      </c>
      <c r="AF33" s="3">
        <v>470</v>
      </c>
      <c r="AG33" t="s">
        <v>44</v>
      </c>
      <c r="AH33">
        <v>80</v>
      </c>
      <c r="AI33">
        <v>103</v>
      </c>
      <c r="AJ33">
        <v>105</v>
      </c>
      <c r="AK33">
        <v>149</v>
      </c>
      <c r="AL33">
        <v>253</v>
      </c>
      <c r="AM33">
        <v>469</v>
      </c>
    </row>
    <row r="34" spans="1:39" x14ac:dyDescent="0.3">
      <c r="A34" s="142"/>
      <c r="B34" s="142"/>
      <c r="C34" s="142"/>
      <c r="D34" s="142"/>
      <c r="E34" s="142"/>
      <c r="F34" s="142"/>
      <c r="G34" s="142"/>
      <c r="H34" s="142"/>
    </row>
    <row r="35" spans="1:39" x14ac:dyDescent="0.3">
      <c r="A35" s="36" t="s">
        <v>151</v>
      </c>
      <c r="B35" s="140">
        <f t="shared" ref="B35:G35" si="0">SUM(B19,B4)</f>
        <v>201523</v>
      </c>
      <c r="C35" s="140">
        <f t="shared" si="0"/>
        <v>199182</v>
      </c>
      <c r="D35" s="140">
        <f t="shared" si="0"/>
        <v>198872</v>
      </c>
      <c r="E35" s="140">
        <f t="shared" si="0"/>
        <v>199803</v>
      </c>
      <c r="F35" s="140">
        <f t="shared" si="0"/>
        <v>204649</v>
      </c>
      <c r="G35" s="140">
        <f t="shared" si="0"/>
        <v>203754</v>
      </c>
      <c r="H35" s="140">
        <f t="shared" ref="H35" si="1">SUM(H19,H4)</f>
        <v>199087</v>
      </c>
      <c r="I35" s="36" t="s">
        <v>151</v>
      </c>
      <c r="J35" s="140">
        <f t="shared" ref="J35:O35" si="2">SUM(J19,J4)</f>
        <v>129957</v>
      </c>
      <c r="K35" s="140">
        <f t="shared" si="2"/>
        <v>131851</v>
      </c>
      <c r="L35" s="140">
        <f t="shared" si="2"/>
        <v>131457</v>
      </c>
      <c r="M35" s="140">
        <f t="shared" si="2"/>
        <v>129716</v>
      </c>
      <c r="N35" s="140">
        <f t="shared" si="2"/>
        <v>129562</v>
      </c>
      <c r="O35" s="140">
        <f t="shared" si="2"/>
        <v>125910</v>
      </c>
      <c r="P35" s="140">
        <f t="shared" ref="P35" si="3">SUM(P19,P4)</f>
        <v>124894</v>
      </c>
      <c r="Q35" s="36" t="s">
        <v>151</v>
      </c>
      <c r="R35" s="140">
        <f t="shared" ref="R35:W35" si="4">SUM(R19,R4)</f>
        <v>62231</v>
      </c>
      <c r="S35" s="140">
        <f t="shared" si="4"/>
        <v>61622</v>
      </c>
      <c r="T35" s="140">
        <f t="shared" si="4"/>
        <v>61066</v>
      </c>
      <c r="U35" s="140">
        <f t="shared" si="4"/>
        <v>59270</v>
      </c>
      <c r="V35" s="140">
        <f t="shared" si="4"/>
        <v>60556</v>
      </c>
      <c r="W35" s="140">
        <f t="shared" si="4"/>
        <v>58592</v>
      </c>
      <c r="X35" s="140">
        <f t="shared" ref="X35" si="5">SUM(X19,X4)</f>
        <v>58650</v>
      </c>
      <c r="Y35" s="36" t="s">
        <v>151</v>
      </c>
      <c r="Z35" s="140">
        <f t="shared" ref="Z35:AE35" si="6">SUM(Z19,Z4)</f>
        <v>60784</v>
      </c>
      <c r="AA35" s="140">
        <f t="shared" si="6"/>
        <v>60443</v>
      </c>
      <c r="AB35" s="140">
        <f t="shared" si="6"/>
        <v>59126</v>
      </c>
      <c r="AC35" s="140">
        <f t="shared" si="6"/>
        <v>58238</v>
      </c>
      <c r="AD35" s="140">
        <f t="shared" si="6"/>
        <v>56240</v>
      </c>
      <c r="AE35" s="140">
        <f t="shared" si="6"/>
        <v>55623</v>
      </c>
      <c r="AF35" s="140">
        <f t="shared" ref="AF35" si="7">SUM(AF19,AF4)</f>
        <v>54719</v>
      </c>
      <c r="AG35" s="36" t="s">
        <v>151</v>
      </c>
      <c r="AH35" s="140">
        <f t="shared" ref="AH35:AM35" si="8">SUM(AH19,AH4)</f>
        <v>21907</v>
      </c>
      <c r="AI35" s="140">
        <f t="shared" si="8"/>
        <v>21814</v>
      </c>
      <c r="AJ35" s="140">
        <f t="shared" si="8"/>
        <v>21772</v>
      </c>
      <c r="AK35" s="140">
        <f t="shared" si="8"/>
        <v>30714</v>
      </c>
      <c r="AL35" s="140">
        <f t="shared" si="8"/>
        <v>40358</v>
      </c>
      <c r="AM35" s="140">
        <f t="shared" si="8"/>
        <v>52396</v>
      </c>
    </row>
    <row r="36" spans="1:39" x14ac:dyDescent="0.3">
      <c r="A36" s="142" t="s">
        <v>13</v>
      </c>
      <c r="B36" s="141">
        <f t="shared" ref="B36:G37" si="9">SUM(B5,B20)</f>
        <v>18713</v>
      </c>
      <c r="C36" s="141">
        <f t="shared" si="9"/>
        <v>17917</v>
      </c>
      <c r="D36" s="141">
        <f t="shared" si="9"/>
        <v>17386</v>
      </c>
      <c r="E36" s="141">
        <f t="shared" si="9"/>
        <v>16081</v>
      </c>
      <c r="F36" s="141">
        <f t="shared" si="9"/>
        <v>14963</v>
      </c>
      <c r="G36" s="141">
        <f t="shared" si="9"/>
        <v>13466</v>
      </c>
      <c r="H36" s="141">
        <f t="shared" ref="H36" si="10">SUM(H5,H20)</f>
        <v>12004</v>
      </c>
      <c r="I36" t="s">
        <v>13</v>
      </c>
      <c r="J36" s="141">
        <f t="shared" ref="J36:O37" si="11">SUM(J5,J20)</f>
        <v>4665</v>
      </c>
      <c r="K36" s="141">
        <f t="shared" si="11"/>
        <v>4828</v>
      </c>
      <c r="L36" s="141">
        <f t="shared" si="11"/>
        <v>4866</v>
      </c>
      <c r="M36" s="141">
        <f t="shared" si="11"/>
        <v>4629</v>
      </c>
      <c r="N36" s="141">
        <f t="shared" si="11"/>
        <v>4539</v>
      </c>
      <c r="O36" s="141">
        <f t="shared" si="11"/>
        <v>4366</v>
      </c>
      <c r="P36" s="141">
        <f t="shared" ref="P36" si="12">SUM(P5,P20)</f>
        <v>4466</v>
      </c>
      <c r="Q36" t="s">
        <v>13</v>
      </c>
      <c r="R36" s="141">
        <f t="shared" ref="R36:W37" si="13">SUM(R5,R20)</f>
        <v>3448</v>
      </c>
      <c r="S36" s="141">
        <f t="shared" si="13"/>
        <v>3049</v>
      </c>
      <c r="T36" s="141">
        <f t="shared" si="13"/>
        <v>2840</v>
      </c>
      <c r="U36" s="141">
        <f t="shared" si="13"/>
        <v>3378</v>
      </c>
      <c r="V36" s="141">
        <f t="shared" si="13"/>
        <v>3270</v>
      </c>
      <c r="W36" s="141">
        <f t="shared" si="13"/>
        <v>2550</v>
      </c>
      <c r="X36" s="141">
        <f t="shared" ref="X36" si="14">SUM(X5,X20)</f>
        <v>2331</v>
      </c>
      <c r="Y36" t="s">
        <v>13</v>
      </c>
      <c r="Z36" s="141">
        <f t="shared" ref="Z36:AE37" si="15">SUM(Z5,Z20)</f>
        <v>4391</v>
      </c>
      <c r="AA36" s="141">
        <f t="shared" si="15"/>
        <v>4131</v>
      </c>
      <c r="AB36" s="141">
        <f t="shared" si="15"/>
        <v>3574</v>
      </c>
      <c r="AC36" s="141">
        <f t="shared" si="15"/>
        <v>3045</v>
      </c>
      <c r="AD36" s="141">
        <f t="shared" si="15"/>
        <v>3232</v>
      </c>
      <c r="AE36" s="141">
        <f t="shared" si="15"/>
        <v>2634</v>
      </c>
      <c r="AF36" s="141">
        <f t="shared" ref="AF36" si="16">SUM(AF5,AF20)</f>
        <v>2721</v>
      </c>
      <c r="AG36" t="s">
        <v>13</v>
      </c>
      <c r="AH36" s="141">
        <f t="shared" ref="AH36:AM37" si="17">SUM(AH5,AH20)</f>
        <v>3228</v>
      </c>
      <c r="AI36" s="141">
        <f t="shared" si="17"/>
        <v>3197</v>
      </c>
      <c r="AJ36" s="141">
        <f t="shared" si="17"/>
        <v>3193</v>
      </c>
      <c r="AK36" s="141">
        <f t="shared" si="17"/>
        <v>3413</v>
      </c>
      <c r="AL36" s="141">
        <f t="shared" si="17"/>
        <v>3640</v>
      </c>
      <c r="AM36" s="141">
        <f t="shared" si="17"/>
        <v>4526</v>
      </c>
    </row>
    <row r="37" spans="1:39" x14ac:dyDescent="0.3">
      <c r="A37" s="142" t="s">
        <v>15</v>
      </c>
      <c r="B37" s="141">
        <f t="shared" si="9"/>
        <v>17627</v>
      </c>
      <c r="C37" s="141">
        <f t="shared" si="9"/>
        <v>17066</v>
      </c>
      <c r="D37" s="141">
        <f t="shared" si="9"/>
        <v>16894</v>
      </c>
      <c r="E37" s="141">
        <f t="shared" si="9"/>
        <v>15738</v>
      </c>
      <c r="F37" s="141">
        <f t="shared" si="9"/>
        <v>15509</v>
      </c>
      <c r="G37" s="141">
        <f t="shared" si="9"/>
        <v>14532</v>
      </c>
      <c r="H37" s="141">
        <f t="shared" ref="H37" si="18">SUM(H6,H21)</f>
        <v>13349</v>
      </c>
      <c r="I37" t="s">
        <v>15</v>
      </c>
      <c r="J37" s="141">
        <f t="shared" si="11"/>
        <v>4201</v>
      </c>
      <c r="K37" s="141">
        <f t="shared" si="11"/>
        <v>3828</v>
      </c>
      <c r="L37" s="141">
        <f t="shared" si="11"/>
        <v>3498</v>
      </c>
      <c r="M37" s="141">
        <f t="shared" si="11"/>
        <v>3443</v>
      </c>
      <c r="N37" s="141">
        <f t="shared" si="11"/>
        <v>3728</v>
      </c>
      <c r="O37" s="141">
        <f t="shared" si="11"/>
        <v>3709</v>
      </c>
      <c r="P37" s="141">
        <f t="shared" ref="P37" si="19">SUM(P6,P21)</f>
        <v>3684</v>
      </c>
      <c r="Q37" t="s">
        <v>15</v>
      </c>
      <c r="R37" s="141">
        <f t="shared" si="13"/>
        <v>2897</v>
      </c>
      <c r="S37" s="141">
        <f t="shared" si="13"/>
        <v>2976</v>
      </c>
      <c r="T37" s="141">
        <f t="shared" si="13"/>
        <v>2884</v>
      </c>
      <c r="U37" s="141">
        <f t="shared" si="13"/>
        <v>2808</v>
      </c>
      <c r="V37" s="141">
        <f t="shared" si="13"/>
        <v>2866</v>
      </c>
      <c r="W37" s="141">
        <f t="shared" si="13"/>
        <v>2644</v>
      </c>
      <c r="X37" s="141">
        <f t="shared" ref="X37" si="20">SUM(X6,X21)</f>
        <v>2408</v>
      </c>
      <c r="Y37" t="s">
        <v>15</v>
      </c>
      <c r="Z37" s="141">
        <f t="shared" si="15"/>
        <v>4195</v>
      </c>
      <c r="AA37" s="141">
        <f t="shared" si="15"/>
        <v>3913</v>
      </c>
      <c r="AB37" s="141">
        <f t="shared" si="15"/>
        <v>3944</v>
      </c>
      <c r="AC37" s="141">
        <f t="shared" si="15"/>
        <v>3882</v>
      </c>
      <c r="AD37" s="141">
        <f t="shared" si="15"/>
        <v>3330</v>
      </c>
      <c r="AE37" s="141">
        <f t="shared" si="15"/>
        <v>2917</v>
      </c>
      <c r="AF37" s="141">
        <f t="shared" ref="AF37" si="21">SUM(AF6,AF21)</f>
        <v>3011</v>
      </c>
      <c r="AG37" t="s">
        <v>15</v>
      </c>
      <c r="AH37" s="141">
        <f t="shared" si="17"/>
        <v>2390</v>
      </c>
      <c r="AI37" s="141">
        <f t="shared" si="17"/>
        <v>2362</v>
      </c>
      <c r="AJ37" s="141">
        <f t="shared" si="17"/>
        <v>2620</v>
      </c>
      <c r="AK37" s="141">
        <f t="shared" si="17"/>
        <v>2911</v>
      </c>
      <c r="AL37" s="141">
        <f t="shared" si="17"/>
        <v>3459</v>
      </c>
      <c r="AM37" s="141">
        <f t="shared" si="17"/>
        <v>4201</v>
      </c>
    </row>
    <row r="38" spans="1:39" x14ac:dyDescent="0.3">
      <c r="A38" s="142" t="s">
        <v>17</v>
      </c>
      <c r="B38" s="141">
        <f t="shared" ref="B38:G38" si="22">SUM(B22,B7)</f>
        <v>16584</v>
      </c>
      <c r="C38" s="141">
        <f t="shared" si="22"/>
        <v>16486</v>
      </c>
      <c r="D38" s="141">
        <f t="shared" si="22"/>
        <v>16652</v>
      </c>
      <c r="E38" s="141">
        <f t="shared" si="22"/>
        <v>17091</v>
      </c>
      <c r="F38" s="141">
        <f t="shared" si="22"/>
        <v>17500</v>
      </c>
      <c r="G38" s="141">
        <f t="shared" si="22"/>
        <v>17124</v>
      </c>
      <c r="H38" s="141">
        <f t="shared" ref="H38" si="23">SUM(H22,H7)</f>
        <v>16044</v>
      </c>
      <c r="I38" t="s">
        <v>17</v>
      </c>
      <c r="J38" s="141">
        <f t="shared" ref="J38:O38" si="24">SUM(J22,J7)</f>
        <v>4554</v>
      </c>
      <c r="K38" s="141">
        <f t="shared" si="24"/>
        <v>4613</v>
      </c>
      <c r="L38" s="141">
        <f t="shared" si="24"/>
        <v>4651</v>
      </c>
      <c r="M38" s="141">
        <f t="shared" si="24"/>
        <v>5292</v>
      </c>
      <c r="N38" s="141">
        <f t="shared" si="24"/>
        <v>5320</v>
      </c>
      <c r="O38" s="141">
        <f t="shared" si="24"/>
        <v>4975</v>
      </c>
      <c r="P38" s="141">
        <f t="shared" ref="P38" si="25">SUM(P22,P7)</f>
        <v>4648</v>
      </c>
      <c r="Q38" t="s">
        <v>17</v>
      </c>
      <c r="R38" s="141">
        <f t="shared" ref="R38:W38" si="26">SUM(R22,R7)</f>
        <v>2934</v>
      </c>
      <c r="S38" s="141">
        <f t="shared" si="26"/>
        <v>2998</v>
      </c>
      <c r="T38" s="141">
        <f t="shared" si="26"/>
        <v>2802</v>
      </c>
      <c r="U38" s="141">
        <f t="shared" si="26"/>
        <v>2645</v>
      </c>
      <c r="V38" s="141">
        <f t="shared" si="26"/>
        <v>2671</v>
      </c>
      <c r="W38" s="141">
        <f t="shared" si="26"/>
        <v>2606</v>
      </c>
      <c r="X38" s="141">
        <f t="shared" ref="X38" si="27">SUM(X22,X7)</f>
        <v>2665</v>
      </c>
      <c r="Y38" t="s">
        <v>17</v>
      </c>
      <c r="Z38" s="141">
        <f t="shared" ref="Z38:AE38" si="28">SUM(Z22,Z7)</f>
        <v>3559</v>
      </c>
      <c r="AA38" s="141">
        <f t="shared" si="28"/>
        <v>3572</v>
      </c>
      <c r="AB38" s="141">
        <f t="shared" si="28"/>
        <v>3215</v>
      </c>
      <c r="AC38" s="141">
        <f t="shared" si="28"/>
        <v>2835</v>
      </c>
      <c r="AD38" s="141">
        <f t="shared" si="28"/>
        <v>2900</v>
      </c>
      <c r="AE38" s="141">
        <f t="shared" si="28"/>
        <v>2794</v>
      </c>
      <c r="AF38" s="141">
        <f t="shared" ref="AF38" si="29">SUM(AF22,AF7)</f>
        <v>2646</v>
      </c>
      <c r="AG38" t="s">
        <v>17</v>
      </c>
      <c r="AH38" s="141">
        <f t="shared" ref="AH38:AM38" si="30">SUM(AH22,AH7)</f>
        <v>2042</v>
      </c>
      <c r="AI38" s="141">
        <f t="shared" si="30"/>
        <v>2161</v>
      </c>
      <c r="AJ38" s="141">
        <f t="shared" si="30"/>
        <v>2196</v>
      </c>
      <c r="AK38" s="141">
        <f t="shared" si="30"/>
        <v>2868</v>
      </c>
      <c r="AL38" s="141">
        <f t="shared" si="30"/>
        <v>3533</v>
      </c>
      <c r="AM38" s="141">
        <f t="shared" si="30"/>
        <v>4395</v>
      </c>
    </row>
    <row r="39" spans="1:39" x14ac:dyDescent="0.3">
      <c r="A39" s="142" t="s">
        <v>137</v>
      </c>
      <c r="B39" s="141">
        <f t="shared" ref="B39:G40" si="31">SUM(B8,B23)</f>
        <v>11072</v>
      </c>
      <c r="C39" s="141">
        <f t="shared" si="31"/>
        <v>10016</v>
      </c>
      <c r="D39" s="141">
        <f t="shared" si="31"/>
        <v>9525</v>
      </c>
      <c r="E39" s="141">
        <f t="shared" si="31"/>
        <v>8948</v>
      </c>
      <c r="F39" s="141">
        <f t="shared" si="31"/>
        <v>9136</v>
      </c>
      <c r="G39" s="141">
        <f t="shared" si="31"/>
        <v>9546</v>
      </c>
      <c r="H39" s="141">
        <f t="shared" ref="H39" si="32">SUM(H8,H23)</f>
        <v>9915</v>
      </c>
      <c r="I39" t="s">
        <v>137</v>
      </c>
      <c r="J39" s="141">
        <f t="shared" ref="J39:O40" si="33">SUM(J8,J23)</f>
        <v>2540</v>
      </c>
      <c r="K39" s="141">
        <f t="shared" si="33"/>
        <v>2605</v>
      </c>
      <c r="L39" s="141">
        <f t="shared" si="33"/>
        <v>2590</v>
      </c>
      <c r="M39" s="141">
        <f t="shared" si="33"/>
        <v>2541</v>
      </c>
      <c r="N39" s="141">
        <f t="shared" si="33"/>
        <v>2622</v>
      </c>
      <c r="O39" s="141">
        <f t="shared" si="33"/>
        <v>2564</v>
      </c>
      <c r="P39" s="141">
        <f t="shared" ref="P39" si="34">SUM(P8,P23)</f>
        <v>2652</v>
      </c>
      <c r="Q39" t="s">
        <v>137</v>
      </c>
      <c r="R39" s="141">
        <f t="shared" ref="R39:W40" si="35">SUM(R8,R23)</f>
        <v>2268</v>
      </c>
      <c r="S39" s="141">
        <f t="shared" si="35"/>
        <v>1820</v>
      </c>
      <c r="T39" s="141">
        <f t="shared" si="35"/>
        <v>1599</v>
      </c>
      <c r="U39" s="141">
        <f t="shared" si="35"/>
        <v>1573</v>
      </c>
      <c r="V39" s="141">
        <f t="shared" si="35"/>
        <v>1521</v>
      </c>
      <c r="W39" s="141">
        <f t="shared" si="35"/>
        <v>1537</v>
      </c>
      <c r="X39" s="141">
        <f t="shared" ref="X39" si="36">SUM(X8,X23)</f>
        <v>1763</v>
      </c>
      <c r="Y39" t="s">
        <v>137</v>
      </c>
      <c r="Z39" s="141">
        <f t="shared" ref="Z39:AE40" si="37">SUM(Z8,Z23)</f>
        <v>2717</v>
      </c>
      <c r="AA39" s="141">
        <f t="shared" si="37"/>
        <v>2661</v>
      </c>
      <c r="AB39" s="141">
        <f t="shared" si="37"/>
        <v>2504</v>
      </c>
      <c r="AC39" s="141">
        <f t="shared" si="37"/>
        <v>2498</v>
      </c>
      <c r="AD39" s="141">
        <f t="shared" si="37"/>
        <v>2698</v>
      </c>
      <c r="AE39" s="141">
        <f t="shared" si="37"/>
        <v>2818</v>
      </c>
      <c r="AF39" s="141">
        <f t="shared" ref="AF39" si="38">SUM(AF8,AF23)</f>
        <v>2664</v>
      </c>
      <c r="AG39" t="s">
        <v>137</v>
      </c>
      <c r="AH39" s="141">
        <f t="shared" ref="AH39:AM40" si="39">SUM(AH8,AH23)</f>
        <v>1206</v>
      </c>
      <c r="AI39" s="141">
        <f t="shared" si="39"/>
        <v>1105</v>
      </c>
      <c r="AJ39" s="141">
        <f t="shared" si="39"/>
        <v>926</v>
      </c>
      <c r="AK39" s="141">
        <f t="shared" si="39"/>
        <v>1122</v>
      </c>
      <c r="AL39" s="141">
        <f t="shared" si="39"/>
        <v>1384</v>
      </c>
      <c r="AM39" s="141">
        <f t="shared" si="39"/>
        <v>2093</v>
      </c>
    </row>
    <row r="40" spans="1:39" x14ac:dyDescent="0.3">
      <c r="A40" s="142" t="s">
        <v>140</v>
      </c>
      <c r="B40" s="141">
        <f t="shared" si="31"/>
        <v>6740</v>
      </c>
      <c r="C40" s="141">
        <f t="shared" si="31"/>
        <v>6853</v>
      </c>
      <c r="D40" s="141">
        <f t="shared" si="31"/>
        <v>6493</v>
      </c>
      <c r="E40" s="141">
        <f t="shared" si="31"/>
        <v>7141</v>
      </c>
      <c r="F40" s="141">
        <f t="shared" si="31"/>
        <v>7307</v>
      </c>
      <c r="G40" s="141">
        <f t="shared" si="31"/>
        <v>7704</v>
      </c>
      <c r="H40" s="141">
        <f t="shared" ref="H40" si="40">SUM(H9,H24)</f>
        <v>7264</v>
      </c>
      <c r="I40" t="s">
        <v>140</v>
      </c>
      <c r="J40" s="141">
        <f t="shared" si="33"/>
        <v>1940</v>
      </c>
      <c r="K40" s="141">
        <f t="shared" si="33"/>
        <v>2166</v>
      </c>
      <c r="L40" s="141">
        <f t="shared" si="33"/>
        <v>2289</v>
      </c>
      <c r="M40" s="141">
        <f t="shared" si="33"/>
        <v>2266</v>
      </c>
      <c r="N40" s="141">
        <f t="shared" si="33"/>
        <v>2495</v>
      </c>
      <c r="O40" s="141">
        <f t="shared" si="33"/>
        <v>2629</v>
      </c>
      <c r="P40" s="141">
        <f t="shared" ref="P40" si="41">SUM(P9,P24)</f>
        <v>2586</v>
      </c>
      <c r="Q40" t="s">
        <v>140</v>
      </c>
      <c r="R40" s="141">
        <f t="shared" si="35"/>
        <v>1219</v>
      </c>
      <c r="S40" s="141">
        <f t="shared" si="35"/>
        <v>1193</v>
      </c>
      <c r="T40" s="141">
        <f t="shared" si="35"/>
        <v>1200</v>
      </c>
      <c r="U40" s="141">
        <f t="shared" si="35"/>
        <v>1196</v>
      </c>
      <c r="V40" s="141">
        <f t="shared" si="35"/>
        <v>1151</v>
      </c>
      <c r="W40" s="141">
        <f t="shared" si="35"/>
        <v>1253</v>
      </c>
      <c r="X40" s="141">
        <f t="shared" ref="X40" si="42">SUM(X9,X24)</f>
        <v>1264</v>
      </c>
      <c r="Y40" t="s">
        <v>140</v>
      </c>
      <c r="Z40" s="141">
        <f t="shared" si="37"/>
        <v>2059</v>
      </c>
      <c r="AA40" s="141">
        <f t="shared" si="37"/>
        <v>2016</v>
      </c>
      <c r="AB40" s="141">
        <f t="shared" si="37"/>
        <v>1814</v>
      </c>
      <c r="AC40" s="141">
        <f t="shared" si="37"/>
        <v>1797</v>
      </c>
      <c r="AD40" s="141">
        <f t="shared" si="37"/>
        <v>1494</v>
      </c>
      <c r="AE40" s="141">
        <f t="shared" si="37"/>
        <v>1147</v>
      </c>
      <c r="AF40" s="141">
        <f t="shared" ref="AF40" si="43">SUM(AF9,AF24)</f>
        <v>952</v>
      </c>
      <c r="AG40" t="s">
        <v>140</v>
      </c>
      <c r="AH40" s="141">
        <f t="shared" si="39"/>
        <v>737</v>
      </c>
      <c r="AI40" s="141">
        <f t="shared" si="39"/>
        <v>633</v>
      </c>
      <c r="AJ40" s="141">
        <f t="shared" si="39"/>
        <v>621</v>
      </c>
      <c r="AK40" s="141">
        <f t="shared" si="39"/>
        <v>1086</v>
      </c>
      <c r="AL40" s="141">
        <f t="shared" si="39"/>
        <v>1467</v>
      </c>
      <c r="AM40" s="141">
        <f t="shared" si="39"/>
        <v>1849</v>
      </c>
    </row>
    <row r="41" spans="1:39" x14ac:dyDescent="0.3">
      <c r="A41" s="142" t="s">
        <v>21</v>
      </c>
      <c r="B41" s="141">
        <f t="shared" ref="B41:G41" si="44">SUM(B25,B10)</f>
        <v>19219</v>
      </c>
      <c r="C41" s="141">
        <f t="shared" si="44"/>
        <v>18920</v>
      </c>
      <c r="D41" s="141">
        <f t="shared" si="44"/>
        <v>18579</v>
      </c>
      <c r="E41" s="141">
        <f t="shared" si="44"/>
        <v>17801</v>
      </c>
      <c r="F41" s="141">
        <f t="shared" si="44"/>
        <v>18017</v>
      </c>
      <c r="G41" s="141">
        <f t="shared" si="44"/>
        <v>18725</v>
      </c>
      <c r="H41" s="141">
        <f t="shared" ref="H41" si="45">SUM(H25,H10)</f>
        <v>17517</v>
      </c>
      <c r="I41" t="s">
        <v>21</v>
      </c>
      <c r="J41" s="141">
        <f t="shared" ref="J41:O41" si="46">SUM(J25,J10)</f>
        <v>7062</v>
      </c>
      <c r="K41" s="141">
        <f t="shared" si="46"/>
        <v>7105</v>
      </c>
      <c r="L41" s="141">
        <f t="shared" si="46"/>
        <v>6923</v>
      </c>
      <c r="M41" s="141">
        <f t="shared" si="46"/>
        <v>6416</v>
      </c>
      <c r="N41" s="141">
        <f t="shared" si="46"/>
        <v>6229</v>
      </c>
      <c r="O41" s="141">
        <f t="shared" si="46"/>
        <v>6271</v>
      </c>
      <c r="P41" s="141">
        <f t="shared" ref="P41" si="47">SUM(P25,P10)</f>
        <v>6102</v>
      </c>
      <c r="Q41" t="s">
        <v>21</v>
      </c>
      <c r="R41" s="141">
        <f t="shared" ref="R41:W41" si="48">SUM(R25,R10)</f>
        <v>4646</v>
      </c>
      <c r="S41" s="141">
        <f t="shared" si="48"/>
        <v>4763</v>
      </c>
      <c r="T41" s="141">
        <f t="shared" si="48"/>
        <v>4627</v>
      </c>
      <c r="U41" s="141">
        <f t="shared" si="48"/>
        <v>4124</v>
      </c>
      <c r="V41" s="141">
        <f t="shared" si="48"/>
        <v>3912</v>
      </c>
      <c r="W41" s="141">
        <f t="shared" si="48"/>
        <v>3638</v>
      </c>
      <c r="X41" s="141">
        <f t="shared" ref="X41" si="49">SUM(X25,X10)</f>
        <v>3344</v>
      </c>
      <c r="Y41" t="s">
        <v>21</v>
      </c>
      <c r="Z41" s="141">
        <f t="shared" ref="Z41:AE41" si="50">SUM(Z25,Z10)</f>
        <v>4936</v>
      </c>
      <c r="AA41" s="141">
        <f t="shared" si="50"/>
        <v>4767</v>
      </c>
      <c r="AB41" s="141">
        <f t="shared" si="50"/>
        <v>4243</v>
      </c>
      <c r="AC41" s="141">
        <f t="shared" si="50"/>
        <v>4258</v>
      </c>
      <c r="AD41" s="141">
        <f t="shared" si="50"/>
        <v>3781</v>
      </c>
      <c r="AE41" s="141">
        <f t="shared" si="50"/>
        <v>3871</v>
      </c>
      <c r="AF41" s="141">
        <f t="shared" ref="AF41" si="51">SUM(AF25,AF10)</f>
        <v>3434</v>
      </c>
      <c r="AG41" t="s">
        <v>21</v>
      </c>
      <c r="AH41" s="141">
        <f t="shared" ref="AH41:AM41" si="52">SUM(AH25,AH10)</f>
        <v>2285</v>
      </c>
      <c r="AI41" s="141">
        <f t="shared" si="52"/>
        <v>2116</v>
      </c>
      <c r="AJ41" s="141">
        <f t="shared" si="52"/>
        <v>2030</v>
      </c>
      <c r="AK41" s="141">
        <f t="shared" si="52"/>
        <v>2665</v>
      </c>
      <c r="AL41" s="141">
        <f t="shared" si="52"/>
        <v>3119</v>
      </c>
      <c r="AM41" s="141">
        <f t="shared" si="52"/>
        <v>3980</v>
      </c>
    </row>
    <row r="42" spans="1:39" x14ac:dyDescent="0.3">
      <c r="A42" s="142" t="s">
        <v>23</v>
      </c>
      <c r="B42" s="141">
        <f t="shared" ref="B42:G43" si="53">SUM(B11,B26)</f>
        <v>18054</v>
      </c>
      <c r="C42" s="141">
        <f t="shared" si="53"/>
        <v>18607</v>
      </c>
      <c r="D42" s="141">
        <f t="shared" si="53"/>
        <v>19215</v>
      </c>
      <c r="E42" s="141">
        <f t="shared" si="53"/>
        <v>20291</v>
      </c>
      <c r="F42" s="141">
        <f t="shared" si="53"/>
        <v>19823</v>
      </c>
      <c r="G42" s="141">
        <f t="shared" si="53"/>
        <v>20239</v>
      </c>
      <c r="H42" s="141">
        <f t="shared" ref="H42" si="54">SUM(H11,H26)</f>
        <v>18825</v>
      </c>
      <c r="I42" t="s">
        <v>23</v>
      </c>
      <c r="J42" s="141">
        <f t="shared" ref="J42:O43" si="55">SUM(J11,J26)</f>
        <v>10211</v>
      </c>
      <c r="K42" s="141">
        <f t="shared" si="55"/>
        <v>10745</v>
      </c>
      <c r="L42" s="141">
        <f t="shared" si="55"/>
        <v>10811</v>
      </c>
      <c r="M42" s="141">
        <f t="shared" si="55"/>
        <v>10349</v>
      </c>
      <c r="N42" s="141">
        <f t="shared" si="55"/>
        <v>10084</v>
      </c>
      <c r="O42" s="141">
        <f t="shared" si="55"/>
        <v>8843</v>
      </c>
      <c r="P42" s="141">
        <f t="shared" ref="P42" si="56">SUM(P11,P26)</f>
        <v>8045</v>
      </c>
      <c r="Q42" t="s">
        <v>23</v>
      </c>
      <c r="R42" s="141">
        <f t="shared" ref="R42:W43" si="57">SUM(R11,R26)</f>
        <v>5996</v>
      </c>
      <c r="S42" s="141">
        <f t="shared" si="57"/>
        <v>6125</v>
      </c>
      <c r="T42" s="141">
        <f t="shared" si="57"/>
        <v>5626</v>
      </c>
      <c r="U42" s="141">
        <f t="shared" si="57"/>
        <v>5442</v>
      </c>
      <c r="V42" s="141">
        <f t="shared" si="57"/>
        <v>5386</v>
      </c>
      <c r="W42" s="141">
        <f t="shared" si="57"/>
        <v>4634</v>
      </c>
      <c r="X42" s="141">
        <f t="shared" ref="X42" si="58">SUM(X11,X26)</f>
        <v>4189</v>
      </c>
      <c r="Y42" t="s">
        <v>23</v>
      </c>
      <c r="Z42" s="141">
        <f t="shared" ref="Z42:AE43" si="59">SUM(Z11,Z26)</f>
        <v>5512</v>
      </c>
      <c r="AA42" s="141">
        <f t="shared" si="59"/>
        <v>5328</v>
      </c>
      <c r="AB42" s="141">
        <f t="shared" si="59"/>
        <v>5451</v>
      </c>
      <c r="AC42" s="141">
        <f t="shared" si="59"/>
        <v>5248</v>
      </c>
      <c r="AD42" s="141">
        <f t="shared" si="59"/>
        <v>4927</v>
      </c>
      <c r="AE42" s="141">
        <f t="shared" si="59"/>
        <v>4839</v>
      </c>
      <c r="AF42" s="141">
        <f t="shared" ref="AF42" si="60">SUM(AF11,AF26)</f>
        <v>4768</v>
      </c>
      <c r="AG42" t="s">
        <v>23</v>
      </c>
      <c r="AH42" s="141">
        <f t="shared" ref="AH42:AM43" si="61">SUM(AH11,AH26)</f>
        <v>2080</v>
      </c>
      <c r="AI42" s="141">
        <f t="shared" si="61"/>
        <v>1961</v>
      </c>
      <c r="AJ42" s="141">
        <f t="shared" si="61"/>
        <v>1945</v>
      </c>
      <c r="AK42" s="141">
        <f t="shared" si="61"/>
        <v>3161</v>
      </c>
      <c r="AL42" s="141">
        <f t="shared" si="61"/>
        <v>3683</v>
      </c>
      <c r="AM42" s="141">
        <f t="shared" si="61"/>
        <v>4790</v>
      </c>
    </row>
    <row r="43" spans="1:39" x14ac:dyDescent="0.3">
      <c r="A43" s="142" t="s">
        <v>25</v>
      </c>
      <c r="B43" s="141">
        <f t="shared" si="53"/>
        <v>16662</v>
      </c>
      <c r="C43" s="141">
        <f t="shared" si="53"/>
        <v>16533</v>
      </c>
      <c r="D43" s="141">
        <f t="shared" si="53"/>
        <v>17361</v>
      </c>
      <c r="E43" s="141">
        <f t="shared" si="53"/>
        <v>17163</v>
      </c>
      <c r="F43" s="141">
        <f t="shared" si="53"/>
        <v>18306</v>
      </c>
      <c r="G43" s="141">
        <f t="shared" si="53"/>
        <v>17799</v>
      </c>
      <c r="H43" s="141">
        <f t="shared" ref="H43" si="62">SUM(H12,H27)</f>
        <v>17957</v>
      </c>
      <c r="I43" t="s">
        <v>25</v>
      </c>
      <c r="J43" s="141">
        <f t="shared" si="55"/>
        <v>9723</v>
      </c>
      <c r="K43" s="141">
        <f t="shared" si="55"/>
        <v>10203</v>
      </c>
      <c r="L43" s="141">
        <f t="shared" si="55"/>
        <v>10403</v>
      </c>
      <c r="M43" s="141">
        <f t="shared" si="55"/>
        <v>10570</v>
      </c>
      <c r="N43" s="141">
        <f t="shared" si="55"/>
        <v>10234</v>
      </c>
      <c r="O43" s="141">
        <f t="shared" si="55"/>
        <v>10734</v>
      </c>
      <c r="P43" s="141">
        <f t="shared" ref="P43" si="63">SUM(P12,P27)</f>
        <v>10722</v>
      </c>
      <c r="Q43" t="s">
        <v>25</v>
      </c>
      <c r="R43" s="141">
        <f t="shared" si="57"/>
        <v>5899</v>
      </c>
      <c r="S43" s="141">
        <f t="shared" si="57"/>
        <v>5864</v>
      </c>
      <c r="T43" s="141">
        <f t="shared" si="57"/>
        <v>5885</v>
      </c>
      <c r="U43" s="141">
        <f t="shared" si="57"/>
        <v>4998</v>
      </c>
      <c r="V43" s="141">
        <f t="shared" si="57"/>
        <v>5342</v>
      </c>
      <c r="W43" s="141">
        <f t="shared" si="57"/>
        <v>5075</v>
      </c>
      <c r="X43" s="141">
        <f t="shared" ref="X43" si="64">SUM(X12,X27)</f>
        <v>4906</v>
      </c>
      <c r="Y43" t="s">
        <v>25</v>
      </c>
      <c r="Z43" s="141">
        <f t="shared" si="59"/>
        <v>4108</v>
      </c>
      <c r="AA43" s="141">
        <f t="shared" si="59"/>
        <v>4180</v>
      </c>
      <c r="AB43" s="141">
        <f t="shared" si="59"/>
        <v>4229</v>
      </c>
      <c r="AC43" s="141">
        <f t="shared" si="59"/>
        <v>4316</v>
      </c>
      <c r="AD43" s="141">
        <f t="shared" si="59"/>
        <v>4486</v>
      </c>
      <c r="AE43" s="141">
        <f t="shared" si="59"/>
        <v>4914</v>
      </c>
      <c r="AF43" s="141">
        <f t="shared" ref="AF43" si="65">SUM(AF12,AF27)</f>
        <v>5201</v>
      </c>
      <c r="AG43" t="s">
        <v>25</v>
      </c>
      <c r="AH43" s="141">
        <f t="shared" si="61"/>
        <v>1675</v>
      </c>
      <c r="AI43" s="141">
        <f t="shared" si="61"/>
        <v>1805</v>
      </c>
      <c r="AJ43" s="141">
        <f t="shared" si="61"/>
        <v>1759</v>
      </c>
      <c r="AK43" s="141">
        <f t="shared" si="61"/>
        <v>2678</v>
      </c>
      <c r="AL43" s="141">
        <f t="shared" si="61"/>
        <v>3793</v>
      </c>
      <c r="AM43" s="141">
        <f t="shared" si="61"/>
        <v>4727</v>
      </c>
    </row>
    <row r="44" spans="1:39" x14ac:dyDescent="0.3">
      <c r="A44" s="142" t="s">
        <v>144</v>
      </c>
      <c r="B44" s="141">
        <f t="shared" ref="B44:G44" si="66">SUM(B28,B13)</f>
        <v>29381</v>
      </c>
      <c r="C44" s="141">
        <f t="shared" si="66"/>
        <v>28770</v>
      </c>
      <c r="D44" s="141">
        <f t="shared" si="66"/>
        <v>28209</v>
      </c>
      <c r="E44" s="141">
        <f t="shared" si="66"/>
        <v>28811</v>
      </c>
      <c r="F44" s="141">
        <f t="shared" si="66"/>
        <v>28844</v>
      </c>
      <c r="G44" s="141">
        <f t="shared" si="66"/>
        <v>29033</v>
      </c>
      <c r="H44" s="141">
        <f t="shared" ref="H44" si="67">SUM(H28,H13)</f>
        <v>28952</v>
      </c>
      <c r="I44" t="s">
        <v>144</v>
      </c>
      <c r="J44" s="141">
        <f t="shared" ref="J44:O44" si="68">SUM(J28,J13)</f>
        <v>16266</v>
      </c>
      <c r="K44" s="141">
        <f t="shared" si="68"/>
        <v>16563</v>
      </c>
      <c r="L44" s="141">
        <f t="shared" si="68"/>
        <v>16850</v>
      </c>
      <c r="M44" s="141">
        <f t="shared" si="68"/>
        <v>16766</v>
      </c>
      <c r="N44" s="141">
        <f t="shared" si="68"/>
        <v>17697</v>
      </c>
      <c r="O44" s="141">
        <f t="shared" si="68"/>
        <v>16673</v>
      </c>
      <c r="P44" s="141">
        <f t="shared" ref="P44" si="69">SUM(P28,P13)</f>
        <v>16425</v>
      </c>
      <c r="Q44" t="s">
        <v>144</v>
      </c>
      <c r="R44" s="141">
        <f t="shared" ref="R44:W44" si="70">SUM(R28,R13)</f>
        <v>9309</v>
      </c>
      <c r="S44" s="141">
        <f t="shared" si="70"/>
        <v>8904</v>
      </c>
      <c r="T44" s="141">
        <f t="shared" si="70"/>
        <v>8424</v>
      </c>
      <c r="U44" s="141">
        <f t="shared" si="70"/>
        <v>8482</v>
      </c>
      <c r="V44" s="141">
        <f t="shared" si="70"/>
        <v>8891</v>
      </c>
      <c r="W44" s="141">
        <f t="shared" si="70"/>
        <v>9007</v>
      </c>
      <c r="X44" s="141">
        <f t="shared" ref="X44" si="71">SUM(X28,X13)</f>
        <v>9578</v>
      </c>
      <c r="Y44" t="s">
        <v>144</v>
      </c>
      <c r="Z44" s="141">
        <f t="shared" ref="Z44:AE44" si="72">SUM(Z28,Z13)</f>
        <v>8340</v>
      </c>
      <c r="AA44" s="141">
        <f t="shared" si="72"/>
        <v>8396</v>
      </c>
      <c r="AB44" s="141">
        <f t="shared" si="72"/>
        <v>8415</v>
      </c>
      <c r="AC44" s="141">
        <f t="shared" si="72"/>
        <v>8156</v>
      </c>
      <c r="AD44" s="141">
        <f t="shared" si="72"/>
        <v>7719</v>
      </c>
      <c r="AE44" s="141">
        <f t="shared" si="72"/>
        <v>7530</v>
      </c>
      <c r="AF44" s="141">
        <f t="shared" ref="AF44" si="73">SUM(AF28,AF13)</f>
        <v>7168</v>
      </c>
      <c r="AG44" t="s">
        <v>144</v>
      </c>
      <c r="AH44" s="141">
        <f t="shared" ref="AH44:AM44" si="74">SUM(AH28,AH13)</f>
        <v>2240</v>
      </c>
      <c r="AI44" s="141">
        <f t="shared" si="74"/>
        <v>2313</v>
      </c>
      <c r="AJ44" s="141">
        <f t="shared" si="74"/>
        <v>2413</v>
      </c>
      <c r="AK44" s="141">
        <f t="shared" si="74"/>
        <v>4183</v>
      </c>
      <c r="AL44" s="141">
        <f t="shared" si="74"/>
        <v>5291</v>
      </c>
      <c r="AM44" s="141">
        <f t="shared" si="74"/>
        <v>6626</v>
      </c>
    </row>
    <row r="45" spans="1:39" x14ac:dyDescent="0.3">
      <c r="A45" s="142" t="s">
        <v>145</v>
      </c>
      <c r="B45" s="141">
        <f t="shared" ref="B45:G46" si="75">SUM(B14,B29)</f>
        <v>24044</v>
      </c>
      <c r="C45" s="141">
        <f t="shared" si="75"/>
        <v>23621</v>
      </c>
      <c r="D45" s="141">
        <f t="shared" si="75"/>
        <v>23061</v>
      </c>
      <c r="E45" s="141">
        <f t="shared" si="75"/>
        <v>23432</v>
      </c>
      <c r="F45" s="141">
        <f t="shared" si="75"/>
        <v>24368</v>
      </c>
      <c r="G45" s="141">
        <f t="shared" si="75"/>
        <v>24624</v>
      </c>
      <c r="H45" s="141">
        <f t="shared" ref="H45" si="76">SUM(H14,H29)</f>
        <v>25127</v>
      </c>
      <c r="I45" t="s">
        <v>145</v>
      </c>
      <c r="J45" s="141">
        <f t="shared" ref="J45:O46" si="77">SUM(J14,J29)</f>
        <v>21112</v>
      </c>
      <c r="K45" s="141">
        <f t="shared" si="77"/>
        <v>21215</v>
      </c>
      <c r="L45" s="141">
        <f t="shared" si="77"/>
        <v>20680</v>
      </c>
      <c r="M45" s="141">
        <f t="shared" si="77"/>
        <v>19422</v>
      </c>
      <c r="N45" s="141">
        <f t="shared" si="77"/>
        <v>18447</v>
      </c>
      <c r="O45" s="141">
        <f t="shared" si="77"/>
        <v>17549</v>
      </c>
      <c r="P45" s="141">
        <f t="shared" ref="P45" si="78">SUM(P14,P29)</f>
        <v>17030</v>
      </c>
      <c r="Q45" t="s">
        <v>145</v>
      </c>
      <c r="R45" s="141">
        <f t="shared" ref="R45:W46" si="79">SUM(R14,R29)</f>
        <v>8287</v>
      </c>
      <c r="S45" s="141">
        <f t="shared" si="79"/>
        <v>8090</v>
      </c>
      <c r="T45" s="141">
        <f t="shared" si="79"/>
        <v>8238</v>
      </c>
      <c r="U45" s="141">
        <f t="shared" si="79"/>
        <v>7779</v>
      </c>
      <c r="V45" s="141">
        <f t="shared" si="79"/>
        <v>7844</v>
      </c>
      <c r="W45" s="141">
        <f t="shared" si="79"/>
        <v>7609</v>
      </c>
      <c r="X45" s="141">
        <f t="shared" ref="X45" si="80">SUM(X14,X29)</f>
        <v>7783</v>
      </c>
      <c r="Y45" t="s">
        <v>145</v>
      </c>
      <c r="Z45" s="141">
        <f t="shared" ref="Z45:AE46" si="81">SUM(Z14,Z29)</f>
        <v>8328</v>
      </c>
      <c r="AA45" s="141">
        <f t="shared" si="81"/>
        <v>8562</v>
      </c>
      <c r="AB45" s="141">
        <f t="shared" si="81"/>
        <v>7973</v>
      </c>
      <c r="AC45" s="141">
        <f t="shared" si="81"/>
        <v>7847</v>
      </c>
      <c r="AD45" s="141">
        <f t="shared" si="81"/>
        <v>7680</v>
      </c>
      <c r="AE45" s="141">
        <f t="shared" si="81"/>
        <v>7810</v>
      </c>
      <c r="AF45" s="141">
        <f t="shared" ref="AF45" si="82">SUM(AF14,AF29)</f>
        <v>6970</v>
      </c>
      <c r="AG45" t="s">
        <v>145</v>
      </c>
      <c r="AH45" s="141">
        <f t="shared" ref="AH45:AM46" si="83">SUM(AH14,AH29)</f>
        <v>1855</v>
      </c>
      <c r="AI45" s="141">
        <f t="shared" si="83"/>
        <v>1938</v>
      </c>
      <c r="AJ45" s="141">
        <f t="shared" si="83"/>
        <v>1988</v>
      </c>
      <c r="AK45" s="141">
        <f t="shared" si="83"/>
        <v>2598</v>
      </c>
      <c r="AL45" s="141">
        <f t="shared" si="83"/>
        <v>4114</v>
      </c>
      <c r="AM45" s="141">
        <f t="shared" si="83"/>
        <v>5684</v>
      </c>
    </row>
    <row r="46" spans="1:39" x14ac:dyDescent="0.3">
      <c r="A46" s="142" t="s">
        <v>146</v>
      </c>
      <c r="B46" s="141">
        <f t="shared" si="75"/>
        <v>14063</v>
      </c>
      <c r="C46" s="141">
        <f t="shared" si="75"/>
        <v>14574</v>
      </c>
      <c r="D46" s="141">
        <f t="shared" si="75"/>
        <v>15624</v>
      </c>
      <c r="E46" s="141">
        <f t="shared" si="75"/>
        <v>17305</v>
      </c>
      <c r="F46" s="141">
        <f t="shared" si="75"/>
        <v>19069</v>
      </c>
      <c r="G46" s="141">
        <f t="shared" si="75"/>
        <v>18742</v>
      </c>
      <c r="H46" s="141">
        <f t="shared" ref="H46" si="84">SUM(H15,H30)</f>
        <v>19273</v>
      </c>
      <c r="I46" t="s">
        <v>146</v>
      </c>
      <c r="J46" s="141">
        <f t="shared" si="77"/>
        <v>21647</v>
      </c>
      <c r="K46" s="141">
        <f t="shared" si="77"/>
        <v>21706</v>
      </c>
      <c r="L46" s="141">
        <f t="shared" si="77"/>
        <v>21188</v>
      </c>
      <c r="M46" s="141">
        <f t="shared" si="77"/>
        <v>20753</v>
      </c>
      <c r="N46" s="141">
        <f t="shared" si="77"/>
        <v>21309</v>
      </c>
      <c r="O46" s="141">
        <f t="shared" si="77"/>
        <v>20618</v>
      </c>
      <c r="P46" s="141">
        <f t="shared" ref="P46" si="85">SUM(P15,P30)</f>
        <v>20492</v>
      </c>
      <c r="Q46" t="s">
        <v>146</v>
      </c>
      <c r="R46" s="141">
        <f t="shared" si="79"/>
        <v>6974</v>
      </c>
      <c r="S46" s="141">
        <f t="shared" si="79"/>
        <v>7147</v>
      </c>
      <c r="T46" s="141">
        <f t="shared" si="79"/>
        <v>7449</v>
      </c>
      <c r="U46" s="141">
        <f t="shared" si="79"/>
        <v>7292</v>
      </c>
      <c r="V46" s="141">
        <f t="shared" si="79"/>
        <v>7839</v>
      </c>
      <c r="W46" s="141">
        <f t="shared" si="79"/>
        <v>7750</v>
      </c>
      <c r="X46" s="141">
        <f t="shared" ref="X46" si="86">SUM(X15,X30)</f>
        <v>7701</v>
      </c>
      <c r="Y46" t="s">
        <v>146</v>
      </c>
      <c r="Z46" s="141">
        <f t="shared" si="81"/>
        <v>7142</v>
      </c>
      <c r="AA46" s="141">
        <f t="shared" si="81"/>
        <v>7377</v>
      </c>
      <c r="AB46" s="141">
        <f t="shared" si="81"/>
        <v>7731</v>
      </c>
      <c r="AC46" s="141">
        <f t="shared" si="81"/>
        <v>8128</v>
      </c>
      <c r="AD46" s="141">
        <f t="shared" si="81"/>
        <v>7781</v>
      </c>
      <c r="AE46" s="141">
        <f t="shared" si="81"/>
        <v>7585</v>
      </c>
      <c r="AF46" s="141">
        <f t="shared" ref="AF46" si="87">SUM(AF15,AF30)</f>
        <v>7949</v>
      </c>
      <c r="AG46" t="s">
        <v>146</v>
      </c>
      <c r="AH46" s="141">
        <f t="shared" si="83"/>
        <v>1151</v>
      </c>
      <c r="AI46" s="141">
        <f t="shared" si="83"/>
        <v>1103</v>
      </c>
      <c r="AJ46" s="141">
        <f t="shared" si="83"/>
        <v>1016</v>
      </c>
      <c r="AK46" s="141">
        <f t="shared" si="83"/>
        <v>2502</v>
      </c>
      <c r="AL46" s="141">
        <f t="shared" si="83"/>
        <v>4219</v>
      </c>
      <c r="AM46" s="141">
        <f t="shared" si="83"/>
        <v>5393</v>
      </c>
    </row>
    <row r="47" spans="1:39" x14ac:dyDescent="0.3">
      <c r="A47" s="142" t="s">
        <v>147</v>
      </c>
      <c r="B47" s="141">
        <f t="shared" ref="B47:G47" si="88">SUM(B31,B16)</f>
        <v>6052</v>
      </c>
      <c r="C47" s="141">
        <f t="shared" si="88"/>
        <v>6394</v>
      </c>
      <c r="D47" s="141">
        <f t="shared" si="88"/>
        <v>6469</v>
      </c>
      <c r="E47" s="141">
        <f t="shared" si="88"/>
        <v>6558</v>
      </c>
      <c r="F47" s="141">
        <f t="shared" si="88"/>
        <v>7825</v>
      </c>
      <c r="G47" s="141">
        <f t="shared" si="88"/>
        <v>8370</v>
      </c>
      <c r="H47" s="141">
        <f t="shared" ref="H47" si="89">SUM(H31,H16)</f>
        <v>8724</v>
      </c>
      <c r="I47" t="s">
        <v>147</v>
      </c>
      <c r="J47" s="141">
        <f t="shared" ref="J47:O47" si="90">SUM(J31,J16)</f>
        <v>15369</v>
      </c>
      <c r="K47" s="141">
        <f t="shared" si="90"/>
        <v>15573</v>
      </c>
      <c r="L47" s="141">
        <f t="shared" si="90"/>
        <v>15796</v>
      </c>
      <c r="M47" s="141">
        <f t="shared" si="90"/>
        <v>16496</v>
      </c>
      <c r="N47" s="141">
        <f t="shared" si="90"/>
        <v>16355</v>
      </c>
      <c r="O47" s="141">
        <f t="shared" si="90"/>
        <v>16148</v>
      </c>
      <c r="P47" s="141">
        <f t="shared" ref="P47" si="91">SUM(P31,P16)</f>
        <v>16714</v>
      </c>
      <c r="Q47" t="s">
        <v>147</v>
      </c>
      <c r="R47" s="141">
        <f t="shared" ref="R47:W47" si="92">SUM(R31,R16)</f>
        <v>5372</v>
      </c>
      <c r="S47" s="141">
        <f t="shared" si="92"/>
        <v>5634</v>
      </c>
      <c r="T47" s="141">
        <f t="shared" si="92"/>
        <v>5985</v>
      </c>
      <c r="U47" s="141">
        <f t="shared" si="92"/>
        <v>6056</v>
      </c>
      <c r="V47" s="141">
        <f t="shared" si="92"/>
        <v>6151</v>
      </c>
      <c r="W47" s="141">
        <f t="shared" si="92"/>
        <v>6158</v>
      </c>
      <c r="X47" s="141">
        <f t="shared" ref="X47" si="93">SUM(X31,X16)</f>
        <v>6252</v>
      </c>
      <c r="Y47" t="s">
        <v>147</v>
      </c>
      <c r="Z47" s="141">
        <f t="shared" ref="Z47:AE47" si="94">SUM(Z31,Z16)</f>
        <v>3446</v>
      </c>
      <c r="AA47" s="141">
        <f t="shared" si="94"/>
        <v>3416</v>
      </c>
      <c r="AB47" s="141">
        <f t="shared" si="94"/>
        <v>3830</v>
      </c>
      <c r="AC47" s="141">
        <f t="shared" si="94"/>
        <v>4059</v>
      </c>
      <c r="AD47" s="141">
        <f t="shared" si="94"/>
        <v>4148</v>
      </c>
      <c r="AE47" s="141">
        <f t="shared" si="94"/>
        <v>4477</v>
      </c>
      <c r="AF47" s="141">
        <f t="shared" ref="AF47" si="95">SUM(AF31,AF16)</f>
        <v>4796</v>
      </c>
      <c r="AG47" t="s">
        <v>147</v>
      </c>
      <c r="AH47" s="141">
        <f t="shared" ref="AH47:AM47" si="96">SUM(AH31,AH16)</f>
        <v>753</v>
      </c>
      <c r="AI47" s="141">
        <f t="shared" si="96"/>
        <v>749</v>
      </c>
      <c r="AJ47" s="141">
        <f t="shared" si="96"/>
        <v>693</v>
      </c>
      <c r="AK47" s="141">
        <f t="shared" si="96"/>
        <v>1015</v>
      </c>
      <c r="AL47" s="141">
        <f t="shared" si="96"/>
        <v>1684</v>
      </c>
      <c r="AM47" s="141">
        <f t="shared" si="96"/>
        <v>2739</v>
      </c>
    </row>
    <row r="48" spans="1:39" x14ac:dyDescent="0.3">
      <c r="A48" s="142" t="s">
        <v>148</v>
      </c>
      <c r="B48" s="141">
        <f t="shared" ref="B48:G49" si="97">SUM(B17,B32)</f>
        <v>2332</v>
      </c>
      <c r="C48" s="141">
        <f t="shared" si="97"/>
        <v>2359</v>
      </c>
      <c r="D48" s="141">
        <f t="shared" si="97"/>
        <v>2332</v>
      </c>
      <c r="E48" s="141">
        <f t="shared" si="97"/>
        <v>2254</v>
      </c>
      <c r="F48" s="141">
        <f t="shared" si="97"/>
        <v>2713</v>
      </c>
      <c r="G48" s="141">
        <f t="shared" si="97"/>
        <v>2462</v>
      </c>
      <c r="H48" s="141">
        <f t="shared" ref="H48" si="98">SUM(H17,H32)</f>
        <v>2869</v>
      </c>
      <c r="I48" t="s">
        <v>148</v>
      </c>
      <c r="J48" s="141">
        <f t="shared" ref="J48:O49" si="99">SUM(J17,J32)</f>
        <v>6693</v>
      </c>
      <c r="K48" s="141">
        <f t="shared" si="99"/>
        <v>6903</v>
      </c>
      <c r="L48" s="141">
        <f t="shared" si="99"/>
        <v>6942</v>
      </c>
      <c r="M48" s="141">
        <f t="shared" si="99"/>
        <v>6662</v>
      </c>
      <c r="N48" s="141">
        <f t="shared" si="99"/>
        <v>6799</v>
      </c>
      <c r="O48" s="141">
        <f t="shared" si="99"/>
        <v>7307</v>
      </c>
      <c r="P48" s="141">
        <f t="shared" ref="P48" si="100">SUM(P17,P32)</f>
        <v>8122</v>
      </c>
      <c r="Q48" t="s">
        <v>148</v>
      </c>
      <c r="R48" s="141">
        <f t="shared" ref="R48:W49" si="101">SUM(R17,R32)</f>
        <v>2025</v>
      </c>
      <c r="S48" s="141">
        <f t="shared" si="101"/>
        <v>2098</v>
      </c>
      <c r="T48" s="141">
        <f t="shared" si="101"/>
        <v>2317</v>
      </c>
      <c r="U48" s="141">
        <f t="shared" si="101"/>
        <v>2171</v>
      </c>
      <c r="V48" s="141">
        <f t="shared" si="101"/>
        <v>2343</v>
      </c>
      <c r="W48" s="141">
        <f t="shared" si="101"/>
        <v>2781</v>
      </c>
      <c r="X48" s="141">
        <f t="shared" ref="X48" si="102">SUM(X17,X32)</f>
        <v>3153</v>
      </c>
      <c r="Y48" t="s">
        <v>148</v>
      </c>
      <c r="Z48" s="141">
        <f t="shared" ref="Z48:AE49" si="103">SUM(Z17,Z32)</f>
        <v>1594</v>
      </c>
      <c r="AA48" s="141">
        <f t="shared" si="103"/>
        <v>1579</v>
      </c>
      <c r="AB48" s="141">
        <f t="shared" si="103"/>
        <v>1504</v>
      </c>
      <c r="AC48" s="141">
        <f t="shared" si="103"/>
        <v>1452</v>
      </c>
      <c r="AD48" s="141">
        <f t="shared" si="103"/>
        <v>1448</v>
      </c>
      <c r="AE48" s="141">
        <f t="shared" si="103"/>
        <v>1608</v>
      </c>
      <c r="AF48" s="141">
        <f t="shared" ref="AF48" si="104">SUM(AF17,AF32)</f>
        <v>1690</v>
      </c>
      <c r="AG48" t="s">
        <v>148</v>
      </c>
      <c r="AH48" s="141">
        <f t="shared" ref="AH48:AM49" si="105">SUM(AH17,AH32)</f>
        <v>172</v>
      </c>
      <c r="AI48" s="141">
        <f t="shared" si="105"/>
        <v>234</v>
      </c>
      <c r="AJ48" s="141">
        <f t="shared" si="105"/>
        <v>208</v>
      </c>
      <c r="AK48" s="141">
        <f t="shared" si="105"/>
        <v>309</v>
      </c>
      <c r="AL48" s="141">
        <f t="shared" si="105"/>
        <v>679</v>
      </c>
      <c r="AM48" s="141">
        <f t="shared" si="105"/>
        <v>866</v>
      </c>
    </row>
    <row r="49" spans="1:39" x14ac:dyDescent="0.3">
      <c r="A49" s="142" t="s">
        <v>44</v>
      </c>
      <c r="B49" s="141">
        <f t="shared" si="97"/>
        <v>980</v>
      </c>
      <c r="C49" s="141">
        <f t="shared" si="97"/>
        <v>1066</v>
      </c>
      <c r="D49" s="141">
        <f t="shared" si="97"/>
        <v>1072</v>
      </c>
      <c r="E49" s="141">
        <f t="shared" si="97"/>
        <v>1189</v>
      </c>
      <c r="F49" s="141">
        <f t="shared" si="97"/>
        <v>1269</v>
      </c>
      <c r="G49" s="141">
        <f t="shared" si="97"/>
        <v>1388</v>
      </c>
      <c r="H49" s="141">
        <f t="shared" ref="H49" si="106">SUM(H18,H33)</f>
        <v>1267</v>
      </c>
      <c r="I49" t="s">
        <v>44</v>
      </c>
      <c r="J49" s="141">
        <f t="shared" si="99"/>
        <v>3974</v>
      </c>
      <c r="K49" s="141">
        <f t="shared" si="99"/>
        <v>3798</v>
      </c>
      <c r="L49" s="141">
        <f t="shared" si="99"/>
        <v>3970</v>
      </c>
      <c r="M49" s="141">
        <f t="shared" si="99"/>
        <v>4111</v>
      </c>
      <c r="N49" s="141">
        <f t="shared" si="99"/>
        <v>3704</v>
      </c>
      <c r="O49" s="141">
        <f t="shared" si="99"/>
        <v>3524</v>
      </c>
      <c r="P49" s="141">
        <f t="shared" ref="P49" si="107">SUM(P18,P33)</f>
        <v>3206</v>
      </c>
      <c r="Q49" t="s">
        <v>44</v>
      </c>
      <c r="R49" s="141">
        <f t="shared" si="101"/>
        <v>957</v>
      </c>
      <c r="S49" s="141">
        <f t="shared" si="101"/>
        <v>961</v>
      </c>
      <c r="T49" s="141">
        <f t="shared" si="101"/>
        <v>1190</v>
      </c>
      <c r="U49" s="141">
        <f t="shared" si="101"/>
        <v>1326</v>
      </c>
      <c r="V49" s="141">
        <f t="shared" si="101"/>
        <v>1369</v>
      </c>
      <c r="W49" s="141">
        <f t="shared" si="101"/>
        <v>1350</v>
      </c>
      <c r="X49" s="141">
        <f t="shared" ref="X49" si="108">SUM(X18,X33)</f>
        <v>1313</v>
      </c>
      <c r="Y49" t="s">
        <v>44</v>
      </c>
      <c r="Z49" s="141">
        <f t="shared" si="103"/>
        <v>457</v>
      </c>
      <c r="AA49" s="141">
        <f t="shared" si="103"/>
        <v>545</v>
      </c>
      <c r="AB49" s="141">
        <f t="shared" si="103"/>
        <v>699</v>
      </c>
      <c r="AC49" s="141">
        <f t="shared" si="103"/>
        <v>717</v>
      </c>
      <c r="AD49" s="141">
        <f t="shared" si="103"/>
        <v>616</v>
      </c>
      <c r="AE49" s="141">
        <f t="shared" si="103"/>
        <v>679</v>
      </c>
      <c r="AF49" s="141">
        <f t="shared" ref="AF49" si="109">SUM(AF18,AF33)</f>
        <v>749</v>
      </c>
      <c r="AG49" t="s">
        <v>44</v>
      </c>
      <c r="AH49" s="141">
        <f t="shared" si="105"/>
        <v>93</v>
      </c>
      <c r="AI49" s="141">
        <f t="shared" si="105"/>
        <v>137</v>
      </c>
      <c r="AJ49" s="141">
        <f t="shared" si="105"/>
        <v>164</v>
      </c>
      <c r="AK49" s="141">
        <f t="shared" si="105"/>
        <v>203</v>
      </c>
      <c r="AL49" s="141">
        <f t="shared" si="105"/>
        <v>293</v>
      </c>
      <c r="AM49" s="141">
        <f t="shared" si="105"/>
        <v>527</v>
      </c>
    </row>
    <row r="50" spans="1:39" x14ac:dyDescent="0.3">
      <c r="A50" s="36" t="s">
        <v>152</v>
      </c>
      <c r="B50" s="140">
        <f t="shared" ref="B50:G50" si="110">SUM(B36:B49)</f>
        <v>201523</v>
      </c>
      <c r="C50" s="140">
        <f t="shared" si="110"/>
        <v>199182</v>
      </c>
      <c r="D50" s="140">
        <f t="shared" si="110"/>
        <v>198872</v>
      </c>
      <c r="E50" s="140">
        <f t="shared" si="110"/>
        <v>199803</v>
      </c>
      <c r="F50" s="140">
        <f t="shared" si="110"/>
        <v>204649</v>
      </c>
      <c r="G50" s="140">
        <f t="shared" si="110"/>
        <v>203754</v>
      </c>
      <c r="H50" s="140">
        <f t="shared" ref="H50" si="111">SUM(H36:H49)</f>
        <v>199087</v>
      </c>
      <c r="I50" s="36" t="s">
        <v>152</v>
      </c>
      <c r="J50" s="140">
        <f t="shared" ref="J50:O50" si="112">SUM(J36:J49)</f>
        <v>129957</v>
      </c>
      <c r="K50" s="140">
        <f t="shared" si="112"/>
        <v>131851</v>
      </c>
      <c r="L50" s="140">
        <f t="shared" si="112"/>
        <v>131457</v>
      </c>
      <c r="M50" s="140">
        <f t="shared" si="112"/>
        <v>129716</v>
      </c>
      <c r="N50" s="140">
        <f t="shared" si="112"/>
        <v>129562</v>
      </c>
      <c r="O50" s="140">
        <f t="shared" si="112"/>
        <v>125910</v>
      </c>
      <c r="P50" s="140">
        <f t="shared" ref="P50" si="113">SUM(P36:P49)</f>
        <v>124894</v>
      </c>
      <c r="Q50" s="36" t="s">
        <v>152</v>
      </c>
      <c r="R50" s="140">
        <f t="shared" ref="R50:W50" si="114">SUM(R36:R49)</f>
        <v>62231</v>
      </c>
      <c r="S50" s="140">
        <f t="shared" si="114"/>
        <v>61622</v>
      </c>
      <c r="T50" s="140">
        <f t="shared" si="114"/>
        <v>61066</v>
      </c>
      <c r="U50" s="140">
        <f t="shared" si="114"/>
        <v>59270</v>
      </c>
      <c r="V50" s="140">
        <f t="shared" si="114"/>
        <v>60556</v>
      </c>
      <c r="W50" s="140">
        <f t="shared" si="114"/>
        <v>58592</v>
      </c>
      <c r="X50" s="140">
        <f t="shared" ref="X50" si="115">SUM(X36:X49)</f>
        <v>58650</v>
      </c>
      <c r="Y50" s="36" t="s">
        <v>152</v>
      </c>
      <c r="Z50" s="140">
        <f t="shared" ref="Z50:AE50" si="116">SUM(Z36:Z49)</f>
        <v>60784</v>
      </c>
      <c r="AA50" s="140">
        <f t="shared" si="116"/>
        <v>60443</v>
      </c>
      <c r="AB50" s="140">
        <f t="shared" si="116"/>
        <v>59126</v>
      </c>
      <c r="AC50" s="140">
        <f t="shared" si="116"/>
        <v>58238</v>
      </c>
      <c r="AD50" s="140">
        <f t="shared" si="116"/>
        <v>56240</v>
      </c>
      <c r="AE50" s="140">
        <f t="shared" si="116"/>
        <v>55623</v>
      </c>
      <c r="AF50" s="140">
        <f t="shared" ref="AF50" si="117">SUM(AF36:AF49)</f>
        <v>54719</v>
      </c>
      <c r="AG50" s="36" t="s">
        <v>152</v>
      </c>
      <c r="AH50" s="140">
        <f t="shared" ref="AH50:AM50" si="118">SUM(AH36:AH49)</f>
        <v>21907</v>
      </c>
      <c r="AI50" s="140">
        <f t="shared" si="118"/>
        <v>21814</v>
      </c>
      <c r="AJ50" s="140">
        <f t="shared" si="118"/>
        <v>21772</v>
      </c>
      <c r="AK50" s="140">
        <f t="shared" si="118"/>
        <v>30714</v>
      </c>
      <c r="AL50" s="140">
        <f t="shared" si="118"/>
        <v>40358</v>
      </c>
      <c r="AM50" s="140">
        <f t="shared" si="118"/>
        <v>52396</v>
      </c>
    </row>
    <row r="52" spans="1:39" x14ac:dyDescent="0.3">
      <c r="A52" t="s">
        <v>165</v>
      </c>
      <c r="B52">
        <v>2017</v>
      </c>
      <c r="C52">
        <v>2018</v>
      </c>
      <c r="D52">
        <v>2019</v>
      </c>
      <c r="E52">
        <v>2020</v>
      </c>
      <c r="F52">
        <v>2021</v>
      </c>
      <c r="G52">
        <v>2022</v>
      </c>
      <c r="H52">
        <v>2023</v>
      </c>
      <c r="I52" t="s">
        <v>165</v>
      </c>
      <c r="J52">
        <v>2017</v>
      </c>
      <c r="K52">
        <v>2018</v>
      </c>
      <c r="L52">
        <v>2019</v>
      </c>
      <c r="M52">
        <v>2020</v>
      </c>
      <c r="N52">
        <v>2021</v>
      </c>
      <c r="O52">
        <v>2022</v>
      </c>
      <c r="P52">
        <v>2023</v>
      </c>
      <c r="Q52" t="s">
        <v>165</v>
      </c>
      <c r="R52">
        <v>2017</v>
      </c>
      <c r="S52">
        <v>2018</v>
      </c>
      <c r="T52">
        <v>2019</v>
      </c>
      <c r="U52">
        <v>2020</v>
      </c>
      <c r="V52">
        <v>2021</v>
      </c>
      <c r="W52">
        <v>2022</v>
      </c>
      <c r="X52">
        <v>2023</v>
      </c>
      <c r="Y52" t="s">
        <v>165</v>
      </c>
      <c r="Z52">
        <v>2017</v>
      </c>
      <c r="AA52">
        <v>2018</v>
      </c>
      <c r="AB52">
        <v>2019</v>
      </c>
      <c r="AC52">
        <v>2020</v>
      </c>
      <c r="AD52">
        <v>2021</v>
      </c>
      <c r="AE52">
        <v>2022</v>
      </c>
      <c r="AF52">
        <v>2023</v>
      </c>
      <c r="AG52" t="s">
        <v>165</v>
      </c>
      <c r="AH52">
        <v>2017</v>
      </c>
      <c r="AI52">
        <v>2018</v>
      </c>
      <c r="AJ52">
        <v>2019</v>
      </c>
      <c r="AK52">
        <v>2020</v>
      </c>
      <c r="AL52">
        <v>2021</v>
      </c>
      <c r="AM52">
        <v>2022</v>
      </c>
    </row>
    <row r="53" spans="1:39" x14ac:dyDescent="0.3">
      <c r="A53" s="44" t="s">
        <v>49</v>
      </c>
      <c r="B53" s="3">
        <f t="shared" ref="B53:G53" si="119">SUM(B36)</f>
        <v>18713</v>
      </c>
      <c r="C53" s="3">
        <f t="shared" si="119"/>
        <v>17917</v>
      </c>
      <c r="D53" s="3">
        <f t="shared" si="119"/>
        <v>17386</v>
      </c>
      <c r="E53" s="3">
        <f t="shared" si="119"/>
        <v>16081</v>
      </c>
      <c r="F53" s="3">
        <f t="shared" si="119"/>
        <v>14963</v>
      </c>
      <c r="G53" s="3">
        <f t="shared" si="119"/>
        <v>13466</v>
      </c>
      <c r="H53" s="3">
        <f t="shared" ref="H53" si="120">SUM(H36)</f>
        <v>12004</v>
      </c>
      <c r="I53" s="44" t="s">
        <v>49</v>
      </c>
      <c r="J53" s="3">
        <f t="shared" ref="J53:O53" si="121">SUM(J36)</f>
        <v>4665</v>
      </c>
      <c r="K53" s="3">
        <f t="shared" si="121"/>
        <v>4828</v>
      </c>
      <c r="L53" s="3">
        <f t="shared" si="121"/>
        <v>4866</v>
      </c>
      <c r="M53" s="3">
        <f t="shared" si="121"/>
        <v>4629</v>
      </c>
      <c r="N53" s="3">
        <f t="shared" si="121"/>
        <v>4539</v>
      </c>
      <c r="O53" s="3">
        <f t="shared" si="121"/>
        <v>4366</v>
      </c>
      <c r="P53" s="3">
        <f t="shared" ref="P53" si="122">SUM(P36)</f>
        <v>4466</v>
      </c>
      <c r="Q53" s="44" t="s">
        <v>49</v>
      </c>
      <c r="R53" s="3">
        <f t="shared" ref="R53:W53" si="123">SUM(R36)</f>
        <v>3448</v>
      </c>
      <c r="S53" s="3">
        <f t="shared" si="123"/>
        <v>3049</v>
      </c>
      <c r="T53" s="3">
        <f t="shared" si="123"/>
        <v>2840</v>
      </c>
      <c r="U53" s="3">
        <f t="shared" si="123"/>
        <v>3378</v>
      </c>
      <c r="V53" s="3">
        <f t="shared" si="123"/>
        <v>3270</v>
      </c>
      <c r="W53" s="3">
        <f t="shared" si="123"/>
        <v>2550</v>
      </c>
      <c r="X53" s="3">
        <f t="shared" ref="X53" si="124">SUM(X36)</f>
        <v>2331</v>
      </c>
      <c r="Y53" s="44" t="s">
        <v>49</v>
      </c>
      <c r="Z53" s="3">
        <f t="shared" ref="Z53:AE53" si="125">SUM(Z36)</f>
        <v>4391</v>
      </c>
      <c r="AA53" s="3">
        <f t="shared" si="125"/>
        <v>4131</v>
      </c>
      <c r="AB53" s="3">
        <f t="shared" si="125"/>
        <v>3574</v>
      </c>
      <c r="AC53" s="3">
        <f t="shared" si="125"/>
        <v>3045</v>
      </c>
      <c r="AD53" s="3">
        <f t="shared" si="125"/>
        <v>3232</v>
      </c>
      <c r="AE53" s="3">
        <f t="shared" si="125"/>
        <v>2634</v>
      </c>
      <c r="AF53" s="3">
        <f t="shared" ref="AF53" si="126">SUM(AF36)</f>
        <v>2721</v>
      </c>
      <c r="AG53" s="44" t="s">
        <v>49</v>
      </c>
      <c r="AH53" s="3">
        <f t="shared" ref="AH53:AM53" si="127">SUM(AH36)</f>
        <v>3228</v>
      </c>
      <c r="AI53" s="3">
        <f t="shared" si="127"/>
        <v>3197</v>
      </c>
      <c r="AJ53" s="3">
        <f t="shared" si="127"/>
        <v>3193</v>
      </c>
      <c r="AK53" s="3">
        <f t="shared" si="127"/>
        <v>3413</v>
      </c>
      <c r="AL53" s="3">
        <f t="shared" si="127"/>
        <v>3640</v>
      </c>
      <c r="AM53" s="3">
        <f t="shared" si="127"/>
        <v>4526</v>
      </c>
    </row>
    <row r="54" spans="1:39" x14ac:dyDescent="0.3">
      <c r="A54" s="53" t="s">
        <v>51</v>
      </c>
      <c r="B54" s="3">
        <f t="shared" ref="B54:G54" si="128">SUM(B37:B38)</f>
        <v>34211</v>
      </c>
      <c r="C54" s="3">
        <f t="shared" si="128"/>
        <v>33552</v>
      </c>
      <c r="D54" s="3">
        <f t="shared" si="128"/>
        <v>33546</v>
      </c>
      <c r="E54" s="3">
        <f t="shared" si="128"/>
        <v>32829</v>
      </c>
      <c r="F54" s="3">
        <f t="shared" si="128"/>
        <v>33009</v>
      </c>
      <c r="G54" s="3">
        <f t="shared" si="128"/>
        <v>31656</v>
      </c>
      <c r="H54" s="3">
        <f t="shared" ref="H54" si="129">SUM(H37:H38)</f>
        <v>29393</v>
      </c>
      <c r="I54" s="53" t="s">
        <v>51</v>
      </c>
      <c r="J54" s="3">
        <f t="shared" ref="J54:O54" si="130">SUM(J37:J38)</f>
        <v>8755</v>
      </c>
      <c r="K54" s="3">
        <f t="shared" si="130"/>
        <v>8441</v>
      </c>
      <c r="L54" s="3">
        <f t="shared" si="130"/>
        <v>8149</v>
      </c>
      <c r="M54" s="3">
        <f t="shared" si="130"/>
        <v>8735</v>
      </c>
      <c r="N54" s="3">
        <f t="shared" si="130"/>
        <v>9048</v>
      </c>
      <c r="O54" s="3">
        <f t="shared" si="130"/>
        <v>8684</v>
      </c>
      <c r="P54" s="3">
        <f t="shared" ref="P54" si="131">SUM(P37:P38)</f>
        <v>8332</v>
      </c>
      <c r="Q54" s="53" t="s">
        <v>51</v>
      </c>
      <c r="R54" s="3">
        <f t="shared" ref="R54:W54" si="132">SUM(R37:R38)</f>
        <v>5831</v>
      </c>
      <c r="S54" s="3">
        <f t="shared" si="132"/>
        <v>5974</v>
      </c>
      <c r="T54" s="3">
        <f t="shared" si="132"/>
        <v>5686</v>
      </c>
      <c r="U54" s="3">
        <f t="shared" si="132"/>
        <v>5453</v>
      </c>
      <c r="V54" s="3">
        <f t="shared" si="132"/>
        <v>5537</v>
      </c>
      <c r="W54" s="3">
        <f t="shared" si="132"/>
        <v>5250</v>
      </c>
      <c r="X54" s="3">
        <f t="shared" ref="X54" si="133">SUM(X37:X38)</f>
        <v>5073</v>
      </c>
      <c r="Y54" s="53" t="s">
        <v>51</v>
      </c>
      <c r="Z54" s="3">
        <f t="shared" ref="Z54:AE54" si="134">SUM(Z37:Z38)</f>
        <v>7754</v>
      </c>
      <c r="AA54" s="3">
        <f t="shared" si="134"/>
        <v>7485</v>
      </c>
      <c r="AB54" s="3">
        <f t="shared" si="134"/>
        <v>7159</v>
      </c>
      <c r="AC54" s="3">
        <f t="shared" si="134"/>
        <v>6717</v>
      </c>
      <c r="AD54" s="3">
        <f t="shared" si="134"/>
        <v>6230</v>
      </c>
      <c r="AE54" s="3">
        <f t="shared" si="134"/>
        <v>5711</v>
      </c>
      <c r="AF54" s="3">
        <f t="shared" ref="AF54" si="135">SUM(AF37:AF38)</f>
        <v>5657</v>
      </c>
      <c r="AG54" s="53" t="s">
        <v>51</v>
      </c>
      <c r="AH54" s="3">
        <f t="shared" ref="AH54:AM54" si="136">SUM(AH37:AH38)</f>
        <v>4432</v>
      </c>
      <c r="AI54" s="3">
        <f t="shared" si="136"/>
        <v>4523</v>
      </c>
      <c r="AJ54" s="3">
        <f t="shared" si="136"/>
        <v>4816</v>
      </c>
      <c r="AK54" s="3">
        <f t="shared" si="136"/>
        <v>5779</v>
      </c>
      <c r="AL54" s="3">
        <f t="shared" si="136"/>
        <v>6992</v>
      </c>
      <c r="AM54" s="3">
        <f t="shared" si="136"/>
        <v>8596</v>
      </c>
    </row>
    <row r="55" spans="1:39" x14ac:dyDescent="0.3">
      <c r="A55" s="44" t="s">
        <v>53</v>
      </c>
      <c r="B55" s="3">
        <f t="shared" ref="B55:G55" si="137">SUM(B39:B41)</f>
        <v>37031</v>
      </c>
      <c r="C55" s="3">
        <f t="shared" si="137"/>
        <v>35789</v>
      </c>
      <c r="D55" s="3">
        <f t="shared" si="137"/>
        <v>34597</v>
      </c>
      <c r="E55" s="3">
        <f t="shared" si="137"/>
        <v>33890</v>
      </c>
      <c r="F55" s="3">
        <f t="shared" si="137"/>
        <v>34460</v>
      </c>
      <c r="G55" s="3">
        <f t="shared" si="137"/>
        <v>35975</v>
      </c>
      <c r="H55" s="3">
        <f t="shared" ref="H55" si="138">SUM(H39:H41)</f>
        <v>34696</v>
      </c>
      <c r="I55" s="44" t="s">
        <v>53</v>
      </c>
      <c r="J55" s="3">
        <f t="shared" ref="J55:O55" si="139">SUM(J39:J41)</f>
        <v>11542</v>
      </c>
      <c r="K55" s="3">
        <f t="shared" si="139"/>
        <v>11876</v>
      </c>
      <c r="L55" s="3">
        <f t="shared" si="139"/>
        <v>11802</v>
      </c>
      <c r="M55" s="3">
        <f t="shared" si="139"/>
        <v>11223</v>
      </c>
      <c r="N55" s="3">
        <f t="shared" si="139"/>
        <v>11346</v>
      </c>
      <c r="O55" s="3">
        <f t="shared" si="139"/>
        <v>11464</v>
      </c>
      <c r="P55" s="3">
        <f t="shared" ref="P55" si="140">SUM(P39:P41)</f>
        <v>11340</v>
      </c>
      <c r="Q55" s="44" t="s">
        <v>53</v>
      </c>
      <c r="R55" s="3">
        <f t="shared" ref="R55:W55" si="141">SUM(R39:R41)</f>
        <v>8133</v>
      </c>
      <c r="S55" s="3">
        <f t="shared" si="141"/>
        <v>7776</v>
      </c>
      <c r="T55" s="3">
        <f t="shared" si="141"/>
        <v>7426</v>
      </c>
      <c r="U55" s="3">
        <f t="shared" si="141"/>
        <v>6893</v>
      </c>
      <c r="V55" s="3">
        <f t="shared" si="141"/>
        <v>6584</v>
      </c>
      <c r="W55" s="3">
        <f t="shared" si="141"/>
        <v>6428</v>
      </c>
      <c r="X55" s="3">
        <f t="shared" ref="X55" si="142">SUM(X39:X41)</f>
        <v>6371</v>
      </c>
      <c r="Y55" s="44" t="s">
        <v>53</v>
      </c>
      <c r="Z55" s="3">
        <f t="shared" ref="Z55:AE55" si="143">SUM(Z39:Z41)</f>
        <v>9712</v>
      </c>
      <c r="AA55" s="3">
        <f t="shared" si="143"/>
        <v>9444</v>
      </c>
      <c r="AB55" s="3">
        <f t="shared" si="143"/>
        <v>8561</v>
      </c>
      <c r="AC55" s="3">
        <f t="shared" si="143"/>
        <v>8553</v>
      </c>
      <c r="AD55" s="3">
        <f t="shared" si="143"/>
        <v>7973</v>
      </c>
      <c r="AE55" s="3">
        <f t="shared" si="143"/>
        <v>7836</v>
      </c>
      <c r="AF55" s="3">
        <f t="shared" ref="AF55" si="144">SUM(AF39:AF41)</f>
        <v>7050</v>
      </c>
      <c r="AG55" s="44" t="s">
        <v>53</v>
      </c>
      <c r="AH55" s="3">
        <f t="shared" ref="AH55:AM55" si="145">SUM(AH39:AH41)</f>
        <v>4228</v>
      </c>
      <c r="AI55" s="3">
        <f t="shared" si="145"/>
        <v>3854</v>
      </c>
      <c r="AJ55" s="3">
        <f t="shared" si="145"/>
        <v>3577</v>
      </c>
      <c r="AK55" s="3">
        <f t="shared" si="145"/>
        <v>4873</v>
      </c>
      <c r="AL55" s="3">
        <f t="shared" si="145"/>
        <v>5970</v>
      </c>
      <c r="AM55" s="3">
        <f t="shared" si="145"/>
        <v>7922</v>
      </c>
    </row>
    <row r="56" spans="1:39" x14ac:dyDescent="0.3">
      <c r="A56" s="44" t="s">
        <v>54</v>
      </c>
      <c r="B56" s="3">
        <f t="shared" ref="B56:G56" si="146">SUM(B42:B44)</f>
        <v>64097</v>
      </c>
      <c r="C56" s="3">
        <f t="shared" si="146"/>
        <v>63910</v>
      </c>
      <c r="D56" s="3">
        <f t="shared" si="146"/>
        <v>64785</v>
      </c>
      <c r="E56" s="3">
        <f t="shared" si="146"/>
        <v>66265</v>
      </c>
      <c r="F56" s="3">
        <f t="shared" si="146"/>
        <v>66973</v>
      </c>
      <c r="G56" s="3">
        <f t="shared" si="146"/>
        <v>67071</v>
      </c>
      <c r="H56" s="3">
        <f t="shared" ref="H56" si="147">SUM(H42:H44)</f>
        <v>65734</v>
      </c>
      <c r="I56" s="44" t="s">
        <v>54</v>
      </c>
      <c r="J56" s="3">
        <f t="shared" ref="J56:O56" si="148">SUM(J42:J44)</f>
        <v>36200</v>
      </c>
      <c r="K56" s="3">
        <f t="shared" si="148"/>
        <v>37511</v>
      </c>
      <c r="L56" s="3">
        <f t="shared" si="148"/>
        <v>38064</v>
      </c>
      <c r="M56" s="3">
        <f t="shared" si="148"/>
        <v>37685</v>
      </c>
      <c r="N56" s="3">
        <f t="shared" si="148"/>
        <v>38015</v>
      </c>
      <c r="O56" s="3">
        <f t="shared" si="148"/>
        <v>36250</v>
      </c>
      <c r="P56" s="3">
        <f t="shared" ref="P56" si="149">SUM(P42:P44)</f>
        <v>35192</v>
      </c>
      <c r="Q56" s="44" t="s">
        <v>54</v>
      </c>
      <c r="R56" s="3">
        <f t="shared" ref="R56:W56" si="150">SUM(R42:R44)</f>
        <v>21204</v>
      </c>
      <c r="S56" s="3">
        <f t="shared" si="150"/>
        <v>20893</v>
      </c>
      <c r="T56" s="3">
        <f t="shared" si="150"/>
        <v>19935</v>
      </c>
      <c r="U56" s="3">
        <f t="shared" si="150"/>
        <v>18922</v>
      </c>
      <c r="V56" s="3">
        <f t="shared" si="150"/>
        <v>19619</v>
      </c>
      <c r="W56" s="3">
        <f t="shared" si="150"/>
        <v>18716</v>
      </c>
      <c r="X56" s="3">
        <f t="shared" ref="X56" si="151">SUM(X42:X44)</f>
        <v>18673</v>
      </c>
      <c r="Y56" s="44" t="s">
        <v>54</v>
      </c>
      <c r="Z56" s="3">
        <f t="shared" ref="Z56:AE56" si="152">SUM(Z42:Z44)</f>
        <v>17960</v>
      </c>
      <c r="AA56" s="3">
        <f t="shared" si="152"/>
        <v>17904</v>
      </c>
      <c r="AB56" s="3">
        <f t="shared" si="152"/>
        <v>18095</v>
      </c>
      <c r="AC56" s="3">
        <f t="shared" si="152"/>
        <v>17720</v>
      </c>
      <c r="AD56" s="3">
        <f t="shared" si="152"/>
        <v>17132</v>
      </c>
      <c r="AE56" s="3">
        <f t="shared" si="152"/>
        <v>17283</v>
      </c>
      <c r="AF56" s="3">
        <f t="shared" ref="AF56" si="153">SUM(AF42:AF44)</f>
        <v>17137</v>
      </c>
      <c r="AG56" s="44" t="s">
        <v>54</v>
      </c>
      <c r="AH56" s="3">
        <f t="shared" ref="AH56:AM56" si="154">SUM(AH42:AH44)</f>
        <v>5995</v>
      </c>
      <c r="AI56" s="3">
        <f t="shared" si="154"/>
        <v>6079</v>
      </c>
      <c r="AJ56" s="3">
        <f t="shared" si="154"/>
        <v>6117</v>
      </c>
      <c r="AK56" s="3">
        <f t="shared" si="154"/>
        <v>10022</v>
      </c>
      <c r="AL56" s="3">
        <f t="shared" si="154"/>
        <v>12767</v>
      </c>
      <c r="AM56" s="3">
        <f t="shared" si="154"/>
        <v>16143</v>
      </c>
    </row>
    <row r="57" spans="1:39" x14ac:dyDescent="0.3">
      <c r="A57" s="44" t="s">
        <v>55</v>
      </c>
      <c r="B57" s="3">
        <f t="shared" ref="B57:G57" si="155">SUM(B45:B46)</f>
        <v>38107</v>
      </c>
      <c r="C57" s="3">
        <f t="shared" si="155"/>
        <v>38195</v>
      </c>
      <c r="D57" s="3">
        <f t="shared" si="155"/>
        <v>38685</v>
      </c>
      <c r="E57" s="3">
        <f t="shared" si="155"/>
        <v>40737</v>
      </c>
      <c r="F57" s="3">
        <f t="shared" si="155"/>
        <v>43437</v>
      </c>
      <c r="G57" s="3">
        <f t="shared" si="155"/>
        <v>43366</v>
      </c>
      <c r="H57" s="3">
        <f t="shared" ref="H57" si="156">SUM(H45:H46)</f>
        <v>44400</v>
      </c>
      <c r="I57" s="44" t="s">
        <v>55</v>
      </c>
      <c r="J57" s="3">
        <f t="shared" ref="J57:O57" si="157">SUM(J45:J46)</f>
        <v>42759</v>
      </c>
      <c r="K57" s="3">
        <f t="shared" si="157"/>
        <v>42921</v>
      </c>
      <c r="L57" s="3">
        <f t="shared" si="157"/>
        <v>41868</v>
      </c>
      <c r="M57" s="3">
        <f t="shared" si="157"/>
        <v>40175</v>
      </c>
      <c r="N57" s="3">
        <f t="shared" si="157"/>
        <v>39756</v>
      </c>
      <c r="O57" s="3">
        <f t="shared" si="157"/>
        <v>38167</v>
      </c>
      <c r="P57" s="3">
        <f t="shared" ref="P57" si="158">SUM(P45:P46)</f>
        <v>37522</v>
      </c>
      <c r="Q57" s="44" t="s">
        <v>55</v>
      </c>
      <c r="R57" s="3">
        <f t="shared" ref="R57:W57" si="159">SUM(R45:R46)</f>
        <v>15261</v>
      </c>
      <c r="S57" s="3">
        <f t="shared" si="159"/>
        <v>15237</v>
      </c>
      <c r="T57" s="3">
        <f t="shared" si="159"/>
        <v>15687</v>
      </c>
      <c r="U57" s="3">
        <f t="shared" si="159"/>
        <v>15071</v>
      </c>
      <c r="V57" s="3">
        <f t="shared" si="159"/>
        <v>15683</v>
      </c>
      <c r="W57" s="3">
        <f t="shared" si="159"/>
        <v>15359</v>
      </c>
      <c r="X57" s="3">
        <f t="shared" ref="X57" si="160">SUM(X45:X46)</f>
        <v>15484</v>
      </c>
      <c r="Y57" s="44" t="s">
        <v>55</v>
      </c>
      <c r="Z57" s="3">
        <f t="shared" ref="Z57:AE57" si="161">SUM(Z45:Z46)</f>
        <v>15470</v>
      </c>
      <c r="AA57" s="3">
        <f t="shared" si="161"/>
        <v>15939</v>
      </c>
      <c r="AB57" s="3">
        <f t="shared" si="161"/>
        <v>15704</v>
      </c>
      <c r="AC57" s="3">
        <f t="shared" si="161"/>
        <v>15975</v>
      </c>
      <c r="AD57" s="3">
        <f t="shared" si="161"/>
        <v>15461</v>
      </c>
      <c r="AE57" s="3">
        <f t="shared" si="161"/>
        <v>15395</v>
      </c>
      <c r="AF57" s="3">
        <f t="shared" ref="AF57" si="162">SUM(AF45:AF46)</f>
        <v>14919</v>
      </c>
      <c r="AG57" s="44" t="s">
        <v>55</v>
      </c>
      <c r="AH57" s="3">
        <f t="shared" ref="AH57:AM57" si="163">SUM(AH45:AH46)</f>
        <v>3006</v>
      </c>
      <c r="AI57" s="3">
        <f t="shared" si="163"/>
        <v>3041</v>
      </c>
      <c r="AJ57" s="3">
        <f t="shared" si="163"/>
        <v>3004</v>
      </c>
      <c r="AK57" s="3">
        <f t="shared" si="163"/>
        <v>5100</v>
      </c>
      <c r="AL57" s="3">
        <f t="shared" si="163"/>
        <v>8333</v>
      </c>
      <c r="AM57" s="3">
        <f t="shared" si="163"/>
        <v>11077</v>
      </c>
    </row>
    <row r="58" spans="1:39" x14ac:dyDescent="0.3">
      <c r="A58" s="44" t="s">
        <v>56</v>
      </c>
      <c r="B58" s="3">
        <f t="shared" ref="B58:G58" si="164">SUM(B47)</f>
        <v>6052</v>
      </c>
      <c r="C58" s="3">
        <f t="shared" si="164"/>
        <v>6394</v>
      </c>
      <c r="D58" s="3">
        <f t="shared" si="164"/>
        <v>6469</v>
      </c>
      <c r="E58" s="3">
        <f t="shared" si="164"/>
        <v>6558</v>
      </c>
      <c r="F58" s="3">
        <f t="shared" si="164"/>
        <v>7825</v>
      </c>
      <c r="G58" s="3">
        <f t="shared" si="164"/>
        <v>8370</v>
      </c>
      <c r="H58" s="3">
        <f t="shared" ref="H58" si="165">SUM(H47)</f>
        <v>8724</v>
      </c>
      <c r="I58" s="44" t="s">
        <v>56</v>
      </c>
      <c r="J58" s="3">
        <f t="shared" ref="J58:O58" si="166">SUM(J47)</f>
        <v>15369</v>
      </c>
      <c r="K58" s="3">
        <f t="shared" si="166"/>
        <v>15573</v>
      </c>
      <c r="L58" s="3">
        <f t="shared" si="166"/>
        <v>15796</v>
      </c>
      <c r="M58" s="3">
        <f t="shared" si="166"/>
        <v>16496</v>
      </c>
      <c r="N58" s="3">
        <f t="shared" si="166"/>
        <v>16355</v>
      </c>
      <c r="O58" s="3">
        <f t="shared" si="166"/>
        <v>16148</v>
      </c>
      <c r="P58" s="3">
        <f t="shared" ref="P58" si="167">SUM(P47)</f>
        <v>16714</v>
      </c>
      <c r="Q58" s="44" t="s">
        <v>56</v>
      </c>
      <c r="R58" s="3">
        <f t="shared" ref="R58:W58" si="168">SUM(R47)</f>
        <v>5372</v>
      </c>
      <c r="S58" s="3">
        <f t="shared" si="168"/>
        <v>5634</v>
      </c>
      <c r="T58" s="3">
        <f t="shared" si="168"/>
        <v>5985</v>
      </c>
      <c r="U58" s="3">
        <f t="shared" si="168"/>
        <v>6056</v>
      </c>
      <c r="V58" s="3">
        <f t="shared" si="168"/>
        <v>6151</v>
      </c>
      <c r="W58" s="3">
        <f t="shared" si="168"/>
        <v>6158</v>
      </c>
      <c r="X58" s="3">
        <f t="shared" ref="X58" si="169">SUM(X47)</f>
        <v>6252</v>
      </c>
      <c r="Y58" s="44" t="s">
        <v>56</v>
      </c>
      <c r="Z58" s="3">
        <f t="shared" ref="Z58:AE58" si="170">SUM(Z47)</f>
        <v>3446</v>
      </c>
      <c r="AA58" s="3">
        <f t="shared" si="170"/>
        <v>3416</v>
      </c>
      <c r="AB58" s="3">
        <f t="shared" si="170"/>
        <v>3830</v>
      </c>
      <c r="AC58" s="3">
        <f t="shared" si="170"/>
        <v>4059</v>
      </c>
      <c r="AD58" s="3">
        <f t="shared" si="170"/>
        <v>4148</v>
      </c>
      <c r="AE58" s="3">
        <f t="shared" si="170"/>
        <v>4477</v>
      </c>
      <c r="AF58" s="3">
        <f t="shared" ref="AF58" si="171">SUM(AF47)</f>
        <v>4796</v>
      </c>
      <c r="AG58" s="44" t="s">
        <v>56</v>
      </c>
      <c r="AH58" s="3">
        <f t="shared" ref="AH58:AM58" si="172">SUM(AH47)</f>
        <v>753</v>
      </c>
      <c r="AI58" s="3">
        <f t="shared" si="172"/>
        <v>749</v>
      </c>
      <c r="AJ58" s="3">
        <f t="shared" si="172"/>
        <v>693</v>
      </c>
      <c r="AK58" s="3">
        <f t="shared" si="172"/>
        <v>1015</v>
      </c>
      <c r="AL58" s="3">
        <f t="shared" si="172"/>
        <v>1684</v>
      </c>
      <c r="AM58" s="3">
        <f t="shared" si="172"/>
        <v>2739</v>
      </c>
    </row>
    <row r="59" spans="1:39" x14ac:dyDescent="0.3">
      <c r="A59" s="44" t="s">
        <v>57</v>
      </c>
      <c r="B59" s="3">
        <f t="shared" ref="B59:G59" si="173">SUM(B48:B49)</f>
        <v>3312</v>
      </c>
      <c r="C59" s="3">
        <f t="shared" si="173"/>
        <v>3425</v>
      </c>
      <c r="D59" s="3">
        <f t="shared" si="173"/>
        <v>3404</v>
      </c>
      <c r="E59" s="3">
        <f t="shared" si="173"/>
        <v>3443</v>
      </c>
      <c r="F59" s="3">
        <f t="shared" si="173"/>
        <v>3982</v>
      </c>
      <c r="G59" s="3">
        <f t="shared" si="173"/>
        <v>3850</v>
      </c>
      <c r="H59" s="3">
        <f t="shared" ref="H59" si="174">SUM(H48:H49)</f>
        <v>4136</v>
      </c>
      <c r="I59" s="44" t="s">
        <v>57</v>
      </c>
      <c r="J59" s="3">
        <f t="shared" ref="J59:O59" si="175">SUM(J48:J49)</f>
        <v>10667</v>
      </c>
      <c r="K59" s="3">
        <f t="shared" si="175"/>
        <v>10701</v>
      </c>
      <c r="L59" s="3">
        <f t="shared" si="175"/>
        <v>10912</v>
      </c>
      <c r="M59" s="3">
        <f t="shared" si="175"/>
        <v>10773</v>
      </c>
      <c r="N59" s="3">
        <f t="shared" si="175"/>
        <v>10503</v>
      </c>
      <c r="O59" s="3">
        <f t="shared" si="175"/>
        <v>10831</v>
      </c>
      <c r="P59" s="3">
        <f t="shared" ref="P59" si="176">SUM(P48:P49)</f>
        <v>11328</v>
      </c>
      <c r="Q59" s="44" t="s">
        <v>57</v>
      </c>
      <c r="R59" s="3">
        <f t="shared" ref="R59:W59" si="177">SUM(R48:R49)</f>
        <v>2982</v>
      </c>
      <c r="S59" s="3">
        <f t="shared" si="177"/>
        <v>3059</v>
      </c>
      <c r="T59" s="3">
        <f t="shared" si="177"/>
        <v>3507</v>
      </c>
      <c r="U59" s="3">
        <f t="shared" si="177"/>
        <v>3497</v>
      </c>
      <c r="V59" s="3">
        <f t="shared" si="177"/>
        <v>3712</v>
      </c>
      <c r="W59" s="3">
        <f t="shared" si="177"/>
        <v>4131</v>
      </c>
      <c r="X59" s="3">
        <f t="shared" ref="X59" si="178">SUM(X48:X49)</f>
        <v>4466</v>
      </c>
      <c r="Y59" s="44" t="s">
        <v>57</v>
      </c>
      <c r="Z59" s="3">
        <f t="shared" ref="Z59:AE59" si="179">SUM(Z48:Z49)</f>
        <v>2051</v>
      </c>
      <c r="AA59" s="3">
        <f t="shared" si="179"/>
        <v>2124</v>
      </c>
      <c r="AB59" s="3">
        <f t="shared" si="179"/>
        <v>2203</v>
      </c>
      <c r="AC59" s="3">
        <f t="shared" si="179"/>
        <v>2169</v>
      </c>
      <c r="AD59" s="3">
        <f t="shared" si="179"/>
        <v>2064</v>
      </c>
      <c r="AE59" s="3">
        <f t="shared" si="179"/>
        <v>2287</v>
      </c>
      <c r="AF59" s="3">
        <f t="shared" ref="AF59" si="180">SUM(AF48:AF49)</f>
        <v>2439</v>
      </c>
      <c r="AG59" s="44" t="s">
        <v>57</v>
      </c>
      <c r="AH59" s="3">
        <f t="shared" ref="AH59:AM59" si="181">SUM(AH48:AH49)</f>
        <v>265</v>
      </c>
      <c r="AI59" s="3">
        <f t="shared" si="181"/>
        <v>371</v>
      </c>
      <c r="AJ59" s="3">
        <f t="shared" si="181"/>
        <v>372</v>
      </c>
      <c r="AK59" s="3">
        <f t="shared" si="181"/>
        <v>512</v>
      </c>
      <c r="AL59" s="3">
        <f t="shared" si="181"/>
        <v>972</v>
      </c>
      <c r="AM59" s="3">
        <f t="shared" si="181"/>
        <v>1393</v>
      </c>
    </row>
    <row r="60" spans="1:39" x14ac:dyDescent="0.3">
      <c r="A60" s="13" t="s">
        <v>151</v>
      </c>
      <c r="B60" s="13">
        <f t="shared" ref="B60:G60" si="182">SUM(B53:B59)</f>
        <v>201523</v>
      </c>
      <c r="C60" s="13">
        <f t="shared" si="182"/>
        <v>199182</v>
      </c>
      <c r="D60" s="13">
        <f t="shared" si="182"/>
        <v>198872</v>
      </c>
      <c r="E60" s="13">
        <f t="shared" si="182"/>
        <v>199803</v>
      </c>
      <c r="F60" s="13">
        <f t="shared" si="182"/>
        <v>204649</v>
      </c>
      <c r="G60" s="13">
        <f t="shared" si="182"/>
        <v>203754</v>
      </c>
      <c r="H60" s="13">
        <f t="shared" ref="H60" si="183">SUM(H53:H59)</f>
        <v>199087</v>
      </c>
      <c r="I60" s="13" t="s">
        <v>151</v>
      </c>
      <c r="J60" s="13">
        <f t="shared" ref="J60:O60" si="184">SUM(J53:J59)</f>
        <v>129957</v>
      </c>
      <c r="K60" s="13">
        <f t="shared" si="184"/>
        <v>131851</v>
      </c>
      <c r="L60" s="13">
        <f t="shared" si="184"/>
        <v>131457</v>
      </c>
      <c r="M60" s="13">
        <f t="shared" si="184"/>
        <v>129716</v>
      </c>
      <c r="N60" s="13">
        <f t="shared" si="184"/>
        <v>129562</v>
      </c>
      <c r="O60" s="13">
        <f t="shared" si="184"/>
        <v>125910</v>
      </c>
      <c r="P60" s="13">
        <f t="shared" ref="P60" si="185">SUM(P53:P59)</f>
        <v>124894</v>
      </c>
      <c r="Q60" s="13" t="s">
        <v>151</v>
      </c>
      <c r="R60" s="13">
        <f t="shared" ref="R60:W60" si="186">SUM(R53:R59)</f>
        <v>62231</v>
      </c>
      <c r="S60" s="13">
        <f t="shared" si="186"/>
        <v>61622</v>
      </c>
      <c r="T60" s="13">
        <f t="shared" si="186"/>
        <v>61066</v>
      </c>
      <c r="U60" s="13">
        <f t="shared" si="186"/>
        <v>59270</v>
      </c>
      <c r="V60" s="13">
        <f t="shared" si="186"/>
        <v>60556</v>
      </c>
      <c r="W60" s="13">
        <f t="shared" si="186"/>
        <v>58592</v>
      </c>
      <c r="X60" s="13">
        <f t="shared" ref="X60" si="187">SUM(X53:X59)</f>
        <v>58650</v>
      </c>
      <c r="Y60" s="13" t="s">
        <v>151</v>
      </c>
      <c r="Z60" s="13">
        <f t="shared" ref="Z60:AE60" si="188">SUM(Z53:Z59)</f>
        <v>60784</v>
      </c>
      <c r="AA60" s="13">
        <f t="shared" si="188"/>
        <v>60443</v>
      </c>
      <c r="AB60" s="13">
        <f t="shared" si="188"/>
        <v>59126</v>
      </c>
      <c r="AC60" s="13">
        <f t="shared" si="188"/>
        <v>58238</v>
      </c>
      <c r="AD60" s="13">
        <f t="shared" si="188"/>
        <v>56240</v>
      </c>
      <c r="AE60" s="13">
        <f t="shared" si="188"/>
        <v>55623</v>
      </c>
      <c r="AF60" s="13">
        <f t="shared" ref="AF60" si="189">SUM(AF53:AF59)</f>
        <v>54719</v>
      </c>
      <c r="AG60" s="13" t="s">
        <v>151</v>
      </c>
      <c r="AH60" s="13">
        <f t="shared" ref="AH60:AM60" si="190">SUM(AH53:AH59)</f>
        <v>21907</v>
      </c>
      <c r="AI60" s="13">
        <f t="shared" si="190"/>
        <v>21814</v>
      </c>
      <c r="AJ60" s="13">
        <f t="shared" si="190"/>
        <v>21772</v>
      </c>
      <c r="AK60" s="13">
        <f t="shared" si="190"/>
        <v>30714</v>
      </c>
      <c r="AL60" s="13">
        <f t="shared" si="190"/>
        <v>40358</v>
      </c>
      <c r="AM60" s="13">
        <f t="shared" si="190"/>
        <v>52396</v>
      </c>
    </row>
  </sheetData>
  <mergeCells count="5">
    <mergeCell ref="A1:F1"/>
    <mergeCell ref="I1:N1"/>
    <mergeCell ref="Q1:V1"/>
    <mergeCell ref="Y1:AE1"/>
    <mergeCell ref="AG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F55-6C2C-4854-AD68-52AF1E84352A}">
  <dimension ref="A1:P89"/>
  <sheetViews>
    <sheetView workbookViewId="0">
      <pane ySplit="1" topLeftCell="A2" activePane="bottomLeft" state="frozen"/>
      <selection pane="bottomLeft" activeCell="H3" sqref="H3"/>
    </sheetView>
  </sheetViews>
  <sheetFormatPr defaultColWidth="8.77734375" defaultRowHeight="14.4" x14ac:dyDescent="0.3"/>
  <cols>
    <col min="1" max="1" width="21.77734375" customWidth="1"/>
  </cols>
  <sheetData>
    <row r="1" spans="1:16" x14ac:dyDescent="0.3">
      <c r="A1" s="171" t="s">
        <v>151</v>
      </c>
      <c r="B1" s="171"/>
      <c r="C1" s="171"/>
      <c r="D1" s="171"/>
      <c r="E1" s="171"/>
      <c r="F1" s="171"/>
    </row>
    <row r="2" spans="1:16" x14ac:dyDescent="0.3"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J2" s="172" t="s">
        <v>166</v>
      </c>
      <c r="K2" s="172"/>
      <c r="L2" s="172"/>
      <c r="M2" s="172"/>
      <c r="N2" s="172"/>
      <c r="O2" s="172"/>
      <c r="P2" s="172"/>
    </row>
    <row r="3" spans="1:16" s="36" customFormat="1" x14ac:dyDescent="0.3">
      <c r="A3" s="36" t="s">
        <v>164</v>
      </c>
      <c r="B3" s="36">
        <v>470489</v>
      </c>
      <c r="C3" s="36">
        <v>468883</v>
      </c>
      <c r="D3" s="36">
        <v>466776</v>
      </c>
      <c r="E3" s="36">
        <v>462081</v>
      </c>
      <c r="F3" s="36">
        <v>466565</v>
      </c>
      <c r="G3" s="36">
        <v>462293</v>
      </c>
      <c r="J3" s="162"/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</row>
    <row r="4" spans="1:16" x14ac:dyDescent="0.3">
      <c r="A4" t="s">
        <v>128</v>
      </c>
      <c r="B4">
        <v>232135</v>
      </c>
      <c r="C4">
        <v>231158</v>
      </c>
      <c r="D4">
        <v>230878</v>
      </c>
      <c r="E4">
        <v>227632</v>
      </c>
      <c r="F4">
        <v>229759</v>
      </c>
      <c r="G4">
        <v>228674</v>
      </c>
      <c r="H4" s="160"/>
      <c r="J4" s="44" t="s">
        <v>49</v>
      </c>
      <c r="K4">
        <f t="shared" ref="K4:P4" si="0">SUM(B5)</f>
        <v>16553</v>
      </c>
      <c r="L4">
        <f t="shared" si="0"/>
        <v>15397</v>
      </c>
      <c r="M4">
        <f t="shared" si="0"/>
        <v>14996</v>
      </c>
      <c r="N4">
        <f t="shared" si="0"/>
        <v>13754</v>
      </c>
      <c r="O4">
        <f t="shared" si="0"/>
        <v>13121</v>
      </c>
      <c r="P4">
        <f t="shared" si="0"/>
        <v>12439</v>
      </c>
    </row>
    <row r="5" spans="1:16" x14ac:dyDescent="0.3">
      <c r="A5" t="s">
        <v>13</v>
      </c>
      <c r="B5">
        <v>16553</v>
      </c>
      <c r="C5">
        <v>15397</v>
      </c>
      <c r="D5">
        <v>14996</v>
      </c>
      <c r="E5">
        <v>13754</v>
      </c>
      <c r="F5">
        <v>13121</v>
      </c>
      <c r="G5">
        <v>12439</v>
      </c>
      <c r="H5" s="160"/>
      <c r="J5" s="53" t="s">
        <v>51</v>
      </c>
      <c r="K5">
        <f t="shared" ref="K5:P5" si="1">SUM(B6:B7)</f>
        <v>31082</v>
      </c>
      <c r="L5">
        <f t="shared" si="1"/>
        <v>30609</v>
      </c>
      <c r="M5">
        <f t="shared" si="1"/>
        <v>30570</v>
      </c>
      <c r="N5">
        <f t="shared" si="1"/>
        <v>29749</v>
      </c>
      <c r="O5">
        <f t="shared" si="1"/>
        <v>30221</v>
      </c>
      <c r="P5">
        <f t="shared" si="1"/>
        <v>29069</v>
      </c>
    </row>
    <row r="6" spans="1:16" x14ac:dyDescent="0.3">
      <c r="A6" t="s">
        <v>15</v>
      </c>
      <c r="B6">
        <v>15895</v>
      </c>
      <c r="C6">
        <v>15287</v>
      </c>
      <c r="D6">
        <v>14922</v>
      </c>
      <c r="E6">
        <v>14012</v>
      </c>
      <c r="F6">
        <v>14076</v>
      </c>
      <c r="G6">
        <v>13178</v>
      </c>
      <c r="H6" s="160"/>
      <c r="J6" s="44" t="s">
        <v>53</v>
      </c>
      <c r="K6">
        <f t="shared" ref="K6:P6" si="2">SUM(B8:B12)</f>
        <v>33923</v>
      </c>
      <c r="L6">
        <f t="shared" si="2"/>
        <v>33659</v>
      </c>
      <c r="M6">
        <f t="shared" si="2"/>
        <v>32369</v>
      </c>
      <c r="N6">
        <f t="shared" si="2"/>
        <v>31074</v>
      </c>
      <c r="O6">
        <f t="shared" si="2"/>
        <v>30247</v>
      </c>
      <c r="P6">
        <f t="shared" si="2"/>
        <v>31367</v>
      </c>
    </row>
    <row r="7" spans="1:16" x14ac:dyDescent="0.3">
      <c r="A7" t="s">
        <v>17</v>
      </c>
      <c r="B7">
        <v>15187</v>
      </c>
      <c r="C7">
        <v>15322</v>
      </c>
      <c r="D7">
        <v>15648</v>
      </c>
      <c r="E7">
        <v>15737</v>
      </c>
      <c r="F7">
        <v>16145</v>
      </c>
      <c r="G7">
        <v>15891</v>
      </c>
      <c r="H7" s="160"/>
      <c r="J7" s="44" t="s">
        <v>54</v>
      </c>
      <c r="K7">
        <f t="shared" ref="K7:P7" si="3">SUM(B13:B16)</f>
        <v>71207</v>
      </c>
      <c r="L7">
        <f t="shared" si="3"/>
        <v>71555</v>
      </c>
      <c r="M7">
        <f t="shared" si="3"/>
        <v>72101</v>
      </c>
      <c r="N7">
        <f t="shared" si="3"/>
        <v>72010</v>
      </c>
      <c r="O7">
        <f t="shared" si="3"/>
        <v>72683</v>
      </c>
      <c r="P7">
        <f t="shared" si="3"/>
        <v>72285</v>
      </c>
    </row>
    <row r="8" spans="1:16" x14ac:dyDescent="0.3">
      <c r="A8" t="s">
        <v>137</v>
      </c>
      <c r="B8">
        <v>9205</v>
      </c>
      <c r="C8">
        <v>8635</v>
      </c>
      <c r="D8">
        <v>8319</v>
      </c>
      <c r="E8">
        <v>7883</v>
      </c>
      <c r="F8">
        <v>8188</v>
      </c>
      <c r="G8">
        <v>8538</v>
      </c>
      <c r="H8" s="160"/>
      <c r="J8" s="44" t="s">
        <v>55</v>
      </c>
      <c r="K8">
        <f t="shared" ref="K8:P8" si="4">SUM(B17:B21)</f>
        <v>56415</v>
      </c>
      <c r="L8">
        <f t="shared" si="4"/>
        <v>56405</v>
      </c>
      <c r="M8">
        <f t="shared" si="4"/>
        <v>56405</v>
      </c>
      <c r="N8">
        <f t="shared" si="4"/>
        <v>56764</v>
      </c>
      <c r="O8">
        <f t="shared" si="4"/>
        <v>58742</v>
      </c>
      <c r="P8">
        <f t="shared" si="4"/>
        <v>58450</v>
      </c>
    </row>
    <row r="9" spans="1:16" x14ac:dyDescent="0.3">
      <c r="A9" t="s">
        <v>140</v>
      </c>
      <c r="B9">
        <v>6104</v>
      </c>
      <c r="C9">
        <v>6240</v>
      </c>
      <c r="D9">
        <v>6292</v>
      </c>
      <c r="E9">
        <v>6291</v>
      </c>
      <c r="F9">
        <v>6410</v>
      </c>
      <c r="G9">
        <v>6329</v>
      </c>
      <c r="H9" s="160"/>
      <c r="J9" s="44" t="s">
        <v>56</v>
      </c>
      <c r="K9">
        <f t="shared" ref="K9:P9" si="5">SUM(B22:B24)</f>
        <v>15056</v>
      </c>
      <c r="L9">
        <f t="shared" si="5"/>
        <v>15606</v>
      </c>
      <c r="M9">
        <f t="shared" si="5"/>
        <v>16170</v>
      </c>
      <c r="N9">
        <f t="shared" si="5"/>
        <v>15975</v>
      </c>
      <c r="O9">
        <f t="shared" si="5"/>
        <v>16446</v>
      </c>
      <c r="P9">
        <f t="shared" si="5"/>
        <v>16590</v>
      </c>
    </row>
    <row r="10" spans="1:16" x14ac:dyDescent="0.3">
      <c r="A10" t="s">
        <v>167</v>
      </c>
      <c r="B10">
        <v>3973</v>
      </c>
      <c r="C10">
        <v>3882</v>
      </c>
      <c r="D10">
        <v>3442</v>
      </c>
      <c r="E10">
        <v>3084</v>
      </c>
      <c r="F10">
        <v>2739</v>
      </c>
      <c r="G10">
        <v>2562</v>
      </c>
      <c r="H10" s="160"/>
      <c r="J10" s="44" t="s">
        <v>57</v>
      </c>
      <c r="K10">
        <f t="shared" ref="K10:P10" si="6">SUM(B25:B27)</f>
        <v>7899</v>
      </c>
      <c r="L10">
        <f t="shared" si="6"/>
        <v>7927</v>
      </c>
      <c r="M10">
        <f t="shared" si="6"/>
        <v>8267</v>
      </c>
      <c r="N10">
        <f t="shared" si="6"/>
        <v>8306</v>
      </c>
      <c r="O10">
        <f t="shared" si="6"/>
        <v>8299</v>
      </c>
      <c r="P10">
        <f t="shared" si="6"/>
        <v>8474</v>
      </c>
    </row>
    <row r="11" spans="1:16" x14ac:dyDescent="0.3">
      <c r="A11" t="s">
        <v>168</v>
      </c>
      <c r="B11">
        <v>3949</v>
      </c>
      <c r="C11">
        <v>4167</v>
      </c>
      <c r="D11">
        <v>3896</v>
      </c>
      <c r="E11">
        <v>4004</v>
      </c>
      <c r="F11">
        <v>3658</v>
      </c>
      <c r="G11">
        <v>3931</v>
      </c>
      <c r="H11" s="160"/>
      <c r="J11" s="13" t="s">
        <v>151</v>
      </c>
      <c r="K11">
        <f t="shared" ref="K11:P11" si="7">SUM(K4:K10)</f>
        <v>232135</v>
      </c>
      <c r="L11">
        <f t="shared" si="7"/>
        <v>231158</v>
      </c>
      <c r="M11">
        <f t="shared" si="7"/>
        <v>230878</v>
      </c>
      <c r="N11">
        <f t="shared" si="7"/>
        <v>227632</v>
      </c>
      <c r="O11">
        <f t="shared" si="7"/>
        <v>229759</v>
      </c>
      <c r="P11">
        <f t="shared" si="7"/>
        <v>228674</v>
      </c>
    </row>
    <row r="12" spans="1:16" x14ac:dyDescent="0.3">
      <c r="A12" t="s">
        <v>169</v>
      </c>
      <c r="B12">
        <v>10692</v>
      </c>
      <c r="C12">
        <v>10735</v>
      </c>
      <c r="D12">
        <v>10420</v>
      </c>
      <c r="E12">
        <v>9812</v>
      </c>
      <c r="F12">
        <v>9252</v>
      </c>
      <c r="G12">
        <v>10007</v>
      </c>
      <c r="H12" s="160"/>
    </row>
    <row r="13" spans="1:16" x14ac:dyDescent="0.3">
      <c r="A13" t="s">
        <v>23</v>
      </c>
      <c r="B13">
        <v>20621</v>
      </c>
      <c r="C13">
        <v>20777</v>
      </c>
      <c r="D13">
        <v>20971</v>
      </c>
      <c r="E13">
        <v>20974</v>
      </c>
      <c r="F13">
        <v>19579</v>
      </c>
      <c r="G13">
        <v>18755</v>
      </c>
      <c r="H13" s="160"/>
      <c r="J13" s="172" t="s">
        <v>170</v>
      </c>
      <c r="K13" s="172"/>
      <c r="L13" s="172"/>
      <c r="M13" s="172"/>
      <c r="N13" s="172"/>
      <c r="O13" s="172"/>
      <c r="P13" s="172"/>
    </row>
    <row r="14" spans="1:16" x14ac:dyDescent="0.3">
      <c r="A14" t="s">
        <v>25</v>
      </c>
      <c r="B14">
        <v>18860</v>
      </c>
      <c r="C14">
        <v>19169</v>
      </c>
      <c r="D14">
        <v>19742</v>
      </c>
      <c r="E14">
        <v>19571</v>
      </c>
      <c r="F14">
        <v>20584</v>
      </c>
      <c r="G14">
        <v>20679</v>
      </c>
      <c r="H14" s="160"/>
      <c r="J14" s="162"/>
      <c r="K14">
        <v>2017</v>
      </c>
      <c r="L14">
        <v>2018</v>
      </c>
      <c r="M14">
        <v>2019</v>
      </c>
      <c r="N14">
        <v>2020</v>
      </c>
      <c r="O14">
        <v>2021</v>
      </c>
      <c r="P14">
        <v>2022</v>
      </c>
    </row>
    <row r="15" spans="1:16" x14ac:dyDescent="0.3">
      <c r="A15" t="s">
        <v>26</v>
      </c>
      <c r="B15">
        <v>15762</v>
      </c>
      <c r="C15">
        <v>15975</v>
      </c>
      <c r="D15">
        <v>16010</v>
      </c>
      <c r="E15">
        <v>16347</v>
      </c>
      <c r="F15">
        <v>16682</v>
      </c>
      <c r="G15">
        <v>17717</v>
      </c>
      <c r="H15" s="160"/>
      <c r="J15" s="44" t="s">
        <v>49</v>
      </c>
      <c r="K15">
        <f t="shared" ref="K15:P15" si="8">SUM(B29)</f>
        <v>16413</v>
      </c>
      <c r="L15">
        <f t="shared" si="8"/>
        <v>16225</v>
      </c>
      <c r="M15">
        <f t="shared" si="8"/>
        <v>15442</v>
      </c>
      <c r="N15">
        <f t="shared" si="8"/>
        <v>14953</v>
      </c>
      <c r="O15">
        <f t="shared" si="8"/>
        <v>14156</v>
      </c>
      <c r="P15">
        <f t="shared" si="8"/>
        <v>12644</v>
      </c>
    </row>
    <row r="16" spans="1:16" x14ac:dyDescent="0.3">
      <c r="A16" t="s">
        <v>27</v>
      </c>
      <c r="B16">
        <v>15964</v>
      </c>
      <c r="C16">
        <v>15634</v>
      </c>
      <c r="D16">
        <v>15378</v>
      </c>
      <c r="E16">
        <v>15118</v>
      </c>
      <c r="F16">
        <v>15838</v>
      </c>
      <c r="G16">
        <v>15134</v>
      </c>
      <c r="H16" s="160"/>
      <c r="J16" s="53" t="s">
        <v>51</v>
      </c>
      <c r="K16">
        <f t="shared" ref="K16:P16" si="9">SUM(B30:B31)</f>
        <v>28015</v>
      </c>
      <c r="L16">
        <f t="shared" si="9"/>
        <v>27208</v>
      </c>
      <c r="M16">
        <f t="shared" si="9"/>
        <v>26627</v>
      </c>
      <c r="N16">
        <f t="shared" si="9"/>
        <v>26064</v>
      </c>
      <c r="O16">
        <f t="shared" si="9"/>
        <v>25887</v>
      </c>
      <c r="P16">
        <f t="shared" si="9"/>
        <v>24710</v>
      </c>
    </row>
    <row r="17" spans="1:16" x14ac:dyDescent="0.3">
      <c r="A17" t="s">
        <v>29</v>
      </c>
      <c r="B17">
        <v>16307</v>
      </c>
      <c r="C17">
        <v>16323</v>
      </c>
      <c r="D17">
        <v>15456</v>
      </c>
      <c r="E17">
        <v>15457</v>
      </c>
      <c r="F17">
        <v>14844</v>
      </c>
      <c r="G17">
        <v>14798</v>
      </c>
      <c r="H17" s="160"/>
      <c r="J17" s="44" t="s">
        <v>53</v>
      </c>
      <c r="K17">
        <f t="shared" ref="K17:P17" si="10">SUM(B32:B36)</f>
        <v>35286</v>
      </c>
      <c r="L17">
        <f t="shared" si="10"/>
        <v>33998</v>
      </c>
      <c r="M17">
        <f t="shared" si="10"/>
        <v>32695</v>
      </c>
      <c r="N17">
        <f t="shared" si="10"/>
        <v>31978</v>
      </c>
      <c r="O17">
        <f t="shared" si="10"/>
        <v>32074</v>
      </c>
      <c r="P17">
        <f t="shared" si="10"/>
        <v>32766</v>
      </c>
    </row>
    <row r="18" spans="1:16" x14ac:dyDescent="0.3">
      <c r="A18" t="s">
        <v>31</v>
      </c>
      <c r="B18">
        <v>15557</v>
      </c>
      <c r="C18">
        <v>15098</v>
      </c>
      <c r="D18">
        <v>15089</v>
      </c>
      <c r="E18">
        <v>14811</v>
      </c>
      <c r="F18">
        <v>15301</v>
      </c>
      <c r="G18">
        <v>15195</v>
      </c>
      <c r="H18" s="160"/>
      <c r="J18" s="44" t="s">
        <v>54</v>
      </c>
      <c r="K18">
        <f t="shared" ref="K18:P18" si="11">SUM(B37:B40)</f>
        <v>72840</v>
      </c>
      <c r="L18">
        <f t="shared" si="11"/>
        <v>73093</v>
      </c>
      <c r="M18">
        <f t="shared" si="11"/>
        <v>73198</v>
      </c>
      <c r="N18">
        <f t="shared" si="11"/>
        <v>73011</v>
      </c>
      <c r="O18">
        <f t="shared" si="11"/>
        <v>73974</v>
      </c>
      <c r="P18">
        <f t="shared" si="11"/>
        <v>72345</v>
      </c>
    </row>
    <row r="19" spans="1:16" x14ac:dyDescent="0.3">
      <c r="A19" t="s">
        <v>33</v>
      </c>
      <c r="B19">
        <v>13239</v>
      </c>
      <c r="C19">
        <v>13056</v>
      </c>
      <c r="D19">
        <v>13600</v>
      </c>
      <c r="E19">
        <v>13701</v>
      </c>
      <c r="F19">
        <v>15039</v>
      </c>
      <c r="G19">
        <v>15051</v>
      </c>
      <c r="H19" s="160"/>
      <c r="J19" s="44" t="s">
        <v>55</v>
      </c>
      <c r="K19">
        <f t="shared" ref="K19:P19" si="12">SUM(B41:B45)</f>
        <v>58380</v>
      </c>
      <c r="L19">
        <f t="shared" si="12"/>
        <v>59248</v>
      </c>
      <c r="M19">
        <f t="shared" si="12"/>
        <v>59062</v>
      </c>
      <c r="N19">
        <f t="shared" si="12"/>
        <v>58563</v>
      </c>
      <c r="O19">
        <f t="shared" si="12"/>
        <v>59458</v>
      </c>
      <c r="P19">
        <f t="shared" si="12"/>
        <v>58371</v>
      </c>
    </row>
    <row r="20" spans="1:16" x14ac:dyDescent="0.3">
      <c r="A20" t="s">
        <v>171</v>
      </c>
      <c r="B20">
        <v>5076</v>
      </c>
      <c r="C20">
        <v>5246</v>
      </c>
      <c r="D20">
        <v>5226</v>
      </c>
      <c r="E20">
        <v>5057</v>
      </c>
      <c r="F20">
        <v>5276</v>
      </c>
      <c r="G20">
        <v>5350</v>
      </c>
      <c r="H20" s="160"/>
      <c r="J20" s="44" t="s">
        <v>56</v>
      </c>
      <c r="K20">
        <f t="shared" ref="K20:P20" si="13">SUM(B46:B48)</f>
        <v>15991</v>
      </c>
      <c r="L20">
        <f t="shared" si="13"/>
        <v>16179</v>
      </c>
      <c r="M20">
        <f t="shared" si="13"/>
        <v>16698</v>
      </c>
      <c r="N20">
        <f t="shared" si="13"/>
        <v>17924</v>
      </c>
      <c r="O20">
        <f t="shared" si="13"/>
        <v>18821</v>
      </c>
      <c r="P20">
        <f t="shared" si="13"/>
        <v>19666</v>
      </c>
    </row>
    <row r="21" spans="1:16" x14ac:dyDescent="0.3">
      <c r="A21" t="s">
        <v>172</v>
      </c>
      <c r="B21">
        <v>6236</v>
      </c>
      <c r="C21">
        <v>6682</v>
      </c>
      <c r="D21">
        <v>7034</v>
      </c>
      <c r="E21">
        <v>7738</v>
      </c>
      <c r="F21">
        <v>8282</v>
      </c>
      <c r="G21">
        <v>8056</v>
      </c>
      <c r="H21" s="160"/>
      <c r="J21" s="44" t="s">
        <v>57</v>
      </c>
      <c r="K21">
        <f t="shared" ref="K21:P21" si="14">SUM(B49:B51)</f>
        <v>11429</v>
      </c>
      <c r="L21">
        <f t="shared" si="14"/>
        <v>11774</v>
      </c>
      <c r="M21">
        <f t="shared" si="14"/>
        <v>12176</v>
      </c>
      <c r="N21">
        <f t="shared" si="14"/>
        <v>11956</v>
      </c>
      <c r="O21">
        <f t="shared" si="14"/>
        <v>12436</v>
      </c>
      <c r="P21">
        <f t="shared" si="14"/>
        <v>13117</v>
      </c>
    </row>
    <row r="22" spans="1:16" x14ac:dyDescent="0.3">
      <c r="A22" t="s">
        <v>173</v>
      </c>
      <c r="B22">
        <v>4317</v>
      </c>
      <c r="C22">
        <v>4228</v>
      </c>
      <c r="D22">
        <v>4370</v>
      </c>
      <c r="E22">
        <v>4120</v>
      </c>
      <c r="F22">
        <v>3957</v>
      </c>
      <c r="G22">
        <v>4052</v>
      </c>
      <c r="H22" s="160"/>
      <c r="J22" s="13" t="s">
        <v>151</v>
      </c>
      <c r="K22">
        <f t="shared" ref="K22:P22" si="15">SUM(K15:K21)</f>
        <v>238354</v>
      </c>
      <c r="L22">
        <f t="shared" si="15"/>
        <v>237725</v>
      </c>
      <c r="M22">
        <f t="shared" si="15"/>
        <v>235898</v>
      </c>
      <c r="N22">
        <f t="shared" si="15"/>
        <v>234449</v>
      </c>
      <c r="O22">
        <f t="shared" si="15"/>
        <v>236806</v>
      </c>
      <c r="P22">
        <f t="shared" si="15"/>
        <v>233619</v>
      </c>
    </row>
    <row r="23" spans="1:16" x14ac:dyDescent="0.3">
      <c r="A23" t="s">
        <v>174</v>
      </c>
      <c r="B23">
        <v>5112</v>
      </c>
      <c r="C23">
        <v>5486</v>
      </c>
      <c r="D23">
        <v>5525</v>
      </c>
      <c r="E23">
        <v>5175</v>
      </c>
      <c r="F23">
        <v>5385</v>
      </c>
      <c r="G23">
        <v>5126</v>
      </c>
    </row>
    <row r="24" spans="1:16" x14ac:dyDescent="0.3">
      <c r="A24" t="s">
        <v>39</v>
      </c>
      <c r="B24">
        <v>5627</v>
      </c>
      <c r="C24">
        <v>5892</v>
      </c>
      <c r="D24">
        <v>6275</v>
      </c>
      <c r="E24">
        <v>6680</v>
      </c>
      <c r="F24">
        <v>7104</v>
      </c>
      <c r="G24">
        <v>7412</v>
      </c>
    </row>
    <row r="25" spans="1:16" x14ac:dyDescent="0.3">
      <c r="A25" t="s">
        <v>41</v>
      </c>
      <c r="B25">
        <v>3219</v>
      </c>
      <c r="C25">
        <v>3277</v>
      </c>
      <c r="D25">
        <v>3545</v>
      </c>
      <c r="E25">
        <v>3511</v>
      </c>
      <c r="F25">
        <v>3631</v>
      </c>
      <c r="G25">
        <v>3874</v>
      </c>
    </row>
    <row r="26" spans="1:16" x14ac:dyDescent="0.3">
      <c r="A26" t="s">
        <v>43</v>
      </c>
      <c r="B26">
        <v>2300</v>
      </c>
      <c r="C26">
        <v>2209</v>
      </c>
      <c r="D26">
        <v>2049</v>
      </c>
      <c r="E26">
        <v>1879</v>
      </c>
      <c r="F26">
        <v>2022</v>
      </c>
      <c r="G26">
        <v>2128</v>
      </c>
    </row>
    <row r="27" spans="1:16" x14ac:dyDescent="0.3">
      <c r="A27" t="s">
        <v>44</v>
      </c>
      <c r="B27">
        <v>2380</v>
      </c>
      <c r="C27">
        <v>2441</v>
      </c>
      <c r="D27">
        <v>2673</v>
      </c>
      <c r="E27">
        <v>2916</v>
      </c>
      <c r="F27">
        <v>2646</v>
      </c>
      <c r="G27">
        <v>2472</v>
      </c>
    </row>
    <row r="28" spans="1:16" x14ac:dyDescent="0.3">
      <c r="A28" t="s">
        <v>149</v>
      </c>
      <c r="B28">
        <v>238354</v>
      </c>
      <c r="C28">
        <v>237725</v>
      </c>
      <c r="D28">
        <v>235898</v>
      </c>
      <c r="E28">
        <v>234449</v>
      </c>
      <c r="F28">
        <v>236806</v>
      </c>
      <c r="G28">
        <v>233619</v>
      </c>
    </row>
    <row r="29" spans="1:16" x14ac:dyDescent="0.3">
      <c r="A29" t="s">
        <v>13</v>
      </c>
      <c r="B29">
        <v>16413</v>
      </c>
      <c r="C29">
        <v>16225</v>
      </c>
      <c r="D29">
        <v>15442</v>
      </c>
      <c r="E29">
        <v>14953</v>
      </c>
      <c r="F29">
        <v>14156</v>
      </c>
      <c r="G29">
        <v>12644</v>
      </c>
    </row>
    <row r="30" spans="1:16" x14ac:dyDescent="0.3">
      <c r="A30" t="s">
        <v>15</v>
      </c>
      <c r="B30">
        <v>14212</v>
      </c>
      <c r="C30">
        <v>13548</v>
      </c>
      <c r="D30">
        <v>13450</v>
      </c>
      <c r="E30">
        <v>12735</v>
      </c>
      <c r="F30">
        <v>12357</v>
      </c>
      <c r="G30">
        <v>11746</v>
      </c>
    </row>
    <row r="31" spans="1:16" x14ac:dyDescent="0.3">
      <c r="A31" t="s">
        <v>17</v>
      </c>
      <c r="B31">
        <v>13803</v>
      </c>
      <c r="C31">
        <v>13660</v>
      </c>
      <c r="D31">
        <v>13177</v>
      </c>
      <c r="E31">
        <v>13329</v>
      </c>
      <c r="F31">
        <v>13530</v>
      </c>
      <c r="G31">
        <v>12964</v>
      </c>
    </row>
    <row r="32" spans="1:16" x14ac:dyDescent="0.3">
      <c r="A32" t="s">
        <v>137</v>
      </c>
      <c r="B32">
        <v>10152</v>
      </c>
      <c r="C32">
        <v>9154</v>
      </c>
      <c r="D32">
        <v>8482</v>
      </c>
      <c r="E32">
        <v>8007</v>
      </c>
      <c r="F32">
        <v>8080</v>
      </c>
      <c r="G32">
        <v>8323</v>
      </c>
    </row>
    <row r="33" spans="1:7" x14ac:dyDescent="0.3">
      <c r="A33" t="s">
        <v>140</v>
      </c>
      <c r="B33">
        <v>6291</v>
      </c>
      <c r="C33">
        <v>6446</v>
      </c>
      <c r="D33">
        <v>6085</v>
      </c>
      <c r="E33">
        <v>6643</v>
      </c>
      <c r="F33">
        <v>6556</v>
      </c>
      <c r="G33">
        <v>6941</v>
      </c>
    </row>
    <row r="34" spans="1:7" x14ac:dyDescent="0.3">
      <c r="A34" t="s">
        <v>167</v>
      </c>
      <c r="B34">
        <v>3818</v>
      </c>
      <c r="C34">
        <v>3963</v>
      </c>
      <c r="D34">
        <v>4013</v>
      </c>
      <c r="E34">
        <v>3656</v>
      </c>
      <c r="F34">
        <v>3384</v>
      </c>
      <c r="G34">
        <v>3335</v>
      </c>
    </row>
    <row r="35" spans="1:7" x14ac:dyDescent="0.3">
      <c r="A35" t="s">
        <v>168</v>
      </c>
      <c r="B35" s="141">
        <v>3231</v>
      </c>
      <c r="C35" s="141">
        <v>3311</v>
      </c>
      <c r="D35" s="141">
        <v>3358</v>
      </c>
      <c r="E35" s="141">
        <v>3323</v>
      </c>
      <c r="F35" s="141">
        <v>3333</v>
      </c>
      <c r="G35" s="141">
        <v>3285</v>
      </c>
    </row>
    <row r="36" spans="1:7" x14ac:dyDescent="0.3">
      <c r="A36" t="s">
        <v>169</v>
      </c>
      <c r="B36" s="141">
        <v>11794</v>
      </c>
      <c r="C36" s="141">
        <v>11124</v>
      </c>
      <c r="D36" s="141">
        <v>10757</v>
      </c>
      <c r="E36" s="141">
        <v>10349</v>
      </c>
      <c r="F36" s="141">
        <v>10721</v>
      </c>
      <c r="G36" s="141">
        <v>10882</v>
      </c>
    </row>
    <row r="37" spans="1:7" x14ac:dyDescent="0.3">
      <c r="A37" t="s">
        <v>23</v>
      </c>
      <c r="B37" s="141">
        <v>20619</v>
      </c>
      <c r="C37" s="141">
        <v>21300</v>
      </c>
      <c r="D37" s="141">
        <v>21307</v>
      </c>
      <c r="E37" s="141">
        <v>21795</v>
      </c>
      <c r="F37" s="141">
        <v>21891</v>
      </c>
      <c r="G37" s="141">
        <v>21201</v>
      </c>
    </row>
    <row r="38" spans="1:7" x14ac:dyDescent="0.3">
      <c r="A38" t="s">
        <v>25</v>
      </c>
      <c r="B38" s="141">
        <v>18973</v>
      </c>
      <c r="C38" s="141">
        <v>19128</v>
      </c>
      <c r="D38" s="141">
        <v>19496</v>
      </c>
      <c r="E38" s="141">
        <v>18738</v>
      </c>
      <c r="F38" s="141">
        <v>19121</v>
      </c>
      <c r="G38" s="141">
        <v>19275</v>
      </c>
    </row>
    <row r="39" spans="1:7" x14ac:dyDescent="0.3">
      <c r="A39" t="s">
        <v>26</v>
      </c>
      <c r="B39" s="141">
        <v>16135</v>
      </c>
      <c r="C39" s="141">
        <v>16413</v>
      </c>
      <c r="D39" s="141">
        <v>16722</v>
      </c>
      <c r="E39" s="141">
        <v>17279</v>
      </c>
      <c r="F39" s="141">
        <v>17413</v>
      </c>
      <c r="G39" s="141">
        <v>17419</v>
      </c>
    </row>
    <row r="40" spans="1:7" x14ac:dyDescent="0.3">
      <c r="A40" t="s">
        <v>27</v>
      </c>
      <c r="B40" s="141">
        <v>17113</v>
      </c>
      <c r="C40" s="141">
        <v>16252</v>
      </c>
      <c r="D40" s="141">
        <v>15673</v>
      </c>
      <c r="E40" s="141">
        <v>15199</v>
      </c>
      <c r="F40" s="141">
        <v>15549</v>
      </c>
      <c r="G40" s="141">
        <v>14450</v>
      </c>
    </row>
    <row r="41" spans="1:7" x14ac:dyDescent="0.3">
      <c r="A41" t="s">
        <v>29</v>
      </c>
      <c r="B41" s="141">
        <v>15691</v>
      </c>
      <c r="C41" s="141">
        <v>15810</v>
      </c>
      <c r="D41" s="141">
        <v>15708</v>
      </c>
      <c r="E41" s="141">
        <v>15025</v>
      </c>
      <c r="F41" s="141">
        <v>15066</v>
      </c>
      <c r="G41" s="141">
        <v>15248</v>
      </c>
    </row>
    <row r="42" spans="1:7" x14ac:dyDescent="0.3">
      <c r="A42" t="s">
        <v>31</v>
      </c>
      <c r="B42" s="141">
        <v>15956</v>
      </c>
      <c r="C42" s="141">
        <v>16158</v>
      </c>
      <c r="D42" s="141">
        <v>15832</v>
      </c>
      <c r="E42" s="141">
        <v>15085</v>
      </c>
      <c r="F42" s="141">
        <v>15358</v>
      </c>
      <c r="G42" s="141">
        <v>14855</v>
      </c>
    </row>
    <row r="43" spans="1:7" x14ac:dyDescent="0.3">
      <c r="A43" t="s">
        <v>33</v>
      </c>
      <c r="B43" s="141">
        <v>13654</v>
      </c>
      <c r="C43" s="141">
        <v>13903</v>
      </c>
      <c r="D43" s="141">
        <v>14104</v>
      </c>
      <c r="E43" s="141">
        <v>14400</v>
      </c>
      <c r="F43" s="141">
        <v>14937</v>
      </c>
      <c r="G43" s="141">
        <v>14681</v>
      </c>
    </row>
    <row r="44" spans="1:7" x14ac:dyDescent="0.3">
      <c r="A44" t="s">
        <v>171</v>
      </c>
      <c r="B44" s="141">
        <v>5761</v>
      </c>
      <c r="C44" s="141">
        <v>5879</v>
      </c>
      <c r="D44" s="141">
        <v>5794</v>
      </c>
      <c r="E44" s="141">
        <v>5993</v>
      </c>
      <c r="F44" s="141">
        <v>5990</v>
      </c>
      <c r="G44" s="141">
        <v>5738</v>
      </c>
    </row>
    <row r="45" spans="1:7" x14ac:dyDescent="0.3">
      <c r="A45" t="s">
        <v>172</v>
      </c>
      <c r="B45" s="141">
        <v>7318</v>
      </c>
      <c r="C45" s="141">
        <v>7498</v>
      </c>
      <c r="D45" s="141">
        <v>7624</v>
      </c>
      <c r="E45" s="141">
        <v>8060</v>
      </c>
      <c r="F45" s="141">
        <v>8107</v>
      </c>
      <c r="G45" s="141">
        <v>7849</v>
      </c>
    </row>
    <row r="46" spans="1:7" x14ac:dyDescent="0.3">
      <c r="A46" t="s">
        <v>173</v>
      </c>
      <c r="B46" s="141">
        <v>4088</v>
      </c>
      <c r="C46" s="141">
        <v>3885</v>
      </c>
      <c r="D46" s="141">
        <v>4096</v>
      </c>
      <c r="E46" s="141">
        <v>4344</v>
      </c>
      <c r="F46" s="141">
        <v>4460</v>
      </c>
      <c r="G46" s="141">
        <v>4644</v>
      </c>
    </row>
    <row r="47" spans="1:7" x14ac:dyDescent="0.3">
      <c r="A47" t="s">
        <v>174</v>
      </c>
      <c r="B47" s="141">
        <v>5465</v>
      </c>
      <c r="C47" s="141">
        <v>5758</v>
      </c>
      <c r="D47" s="141">
        <v>5740</v>
      </c>
      <c r="E47" s="141">
        <v>6286</v>
      </c>
      <c r="F47" s="141">
        <v>6270</v>
      </c>
      <c r="G47" s="141">
        <v>6585</v>
      </c>
    </row>
    <row r="48" spans="1:7" x14ac:dyDescent="0.3">
      <c r="A48" t="s">
        <v>39</v>
      </c>
      <c r="B48" s="141">
        <v>6438</v>
      </c>
      <c r="C48" s="141">
        <v>6536</v>
      </c>
      <c r="D48" s="141">
        <v>6862</v>
      </c>
      <c r="E48" s="141">
        <v>7294</v>
      </c>
      <c r="F48" s="141">
        <v>8091</v>
      </c>
      <c r="G48" s="141">
        <v>8437</v>
      </c>
    </row>
    <row r="49" spans="1:7" x14ac:dyDescent="0.3">
      <c r="A49" t="s">
        <v>41</v>
      </c>
      <c r="B49" s="141">
        <v>4170</v>
      </c>
      <c r="C49" s="141">
        <v>4451</v>
      </c>
      <c r="D49" s="141">
        <v>4824</v>
      </c>
      <c r="E49" s="141">
        <v>4642</v>
      </c>
      <c r="F49" s="141">
        <v>5187</v>
      </c>
      <c r="G49" s="141">
        <v>5552</v>
      </c>
    </row>
    <row r="50" spans="1:7" x14ac:dyDescent="0.3">
      <c r="A50" t="s">
        <v>43</v>
      </c>
      <c r="B50" s="141">
        <v>3197</v>
      </c>
      <c r="C50" s="141">
        <v>3306</v>
      </c>
      <c r="D50" s="141">
        <v>2994</v>
      </c>
      <c r="E50" s="141">
        <v>2806</v>
      </c>
      <c r="F50" s="141">
        <v>2823</v>
      </c>
      <c r="G50" s="141">
        <v>2950</v>
      </c>
    </row>
    <row r="51" spans="1:7" x14ac:dyDescent="0.3">
      <c r="A51" t="s">
        <v>44</v>
      </c>
      <c r="B51">
        <v>4062</v>
      </c>
      <c r="C51">
        <v>4017</v>
      </c>
      <c r="D51">
        <v>4358</v>
      </c>
      <c r="E51">
        <v>4508</v>
      </c>
      <c r="F51">
        <v>4426</v>
      </c>
      <c r="G51">
        <v>4615</v>
      </c>
    </row>
    <row r="53" spans="1:7" x14ac:dyDescent="0.3">
      <c r="A53" s="172" t="s">
        <v>151</v>
      </c>
      <c r="B53" s="172"/>
      <c r="C53" s="172"/>
      <c r="D53" s="172"/>
      <c r="E53" s="172"/>
      <c r="F53" s="172"/>
      <c r="G53" s="172"/>
    </row>
    <row r="54" spans="1:7" x14ac:dyDescent="0.3">
      <c r="A54" s="162"/>
      <c r="B54">
        <v>2017</v>
      </c>
      <c r="C54">
        <v>2018</v>
      </c>
      <c r="D54">
        <v>2019</v>
      </c>
      <c r="E54">
        <v>2020</v>
      </c>
      <c r="F54">
        <v>2021</v>
      </c>
      <c r="G54">
        <v>2022</v>
      </c>
    </row>
    <row r="55" spans="1:7" x14ac:dyDescent="0.3">
      <c r="A55" t="s">
        <v>13</v>
      </c>
      <c r="B55">
        <f t="shared" ref="B55:G64" si="16">SUM(B5,B29)</f>
        <v>32966</v>
      </c>
      <c r="C55">
        <f t="shared" si="16"/>
        <v>31622</v>
      </c>
      <c r="D55">
        <f t="shared" si="16"/>
        <v>30438</v>
      </c>
      <c r="E55">
        <f t="shared" si="16"/>
        <v>28707</v>
      </c>
      <c r="F55">
        <f t="shared" si="16"/>
        <v>27277</v>
      </c>
      <c r="G55">
        <f t="shared" si="16"/>
        <v>25083</v>
      </c>
    </row>
    <row r="56" spans="1:7" x14ac:dyDescent="0.3">
      <c r="A56" t="s">
        <v>15</v>
      </c>
      <c r="B56">
        <f t="shared" si="16"/>
        <v>30107</v>
      </c>
      <c r="C56">
        <f t="shared" si="16"/>
        <v>28835</v>
      </c>
      <c r="D56">
        <f t="shared" si="16"/>
        <v>28372</v>
      </c>
      <c r="E56">
        <f t="shared" si="16"/>
        <v>26747</v>
      </c>
      <c r="F56">
        <f t="shared" si="16"/>
        <v>26433</v>
      </c>
      <c r="G56">
        <f t="shared" si="16"/>
        <v>24924</v>
      </c>
    </row>
    <row r="57" spans="1:7" x14ac:dyDescent="0.3">
      <c r="A57" t="s">
        <v>17</v>
      </c>
      <c r="B57">
        <f t="shared" si="16"/>
        <v>28990</v>
      </c>
      <c r="C57">
        <f t="shared" si="16"/>
        <v>28982</v>
      </c>
      <c r="D57">
        <f t="shared" si="16"/>
        <v>28825</v>
      </c>
      <c r="E57">
        <f t="shared" si="16"/>
        <v>29066</v>
      </c>
      <c r="F57">
        <f t="shared" si="16"/>
        <v>29675</v>
      </c>
      <c r="G57">
        <f t="shared" si="16"/>
        <v>28855</v>
      </c>
    </row>
    <row r="58" spans="1:7" x14ac:dyDescent="0.3">
      <c r="A58" t="s">
        <v>137</v>
      </c>
      <c r="B58">
        <f t="shared" si="16"/>
        <v>19357</v>
      </c>
      <c r="C58">
        <f t="shared" si="16"/>
        <v>17789</v>
      </c>
      <c r="D58">
        <f t="shared" si="16"/>
        <v>16801</v>
      </c>
      <c r="E58">
        <f t="shared" si="16"/>
        <v>15890</v>
      </c>
      <c r="F58">
        <f t="shared" si="16"/>
        <v>16268</v>
      </c>
      <c r="G58">
        <f t="shared" si="16"/>
        <v>16861</v>
      </c>
    </row>
    <row r="59" spans="1:7" x14ac:dyDescent="0.3">
      <c r="A59" t="s">
        <v>140</v>
      </c>
      <c r="B59">
        <f t="shared" si="16"/>
        <v>12395</v>
      </c>
      <c r="C59">
        <f t="shared" si="16"/>
        <v>12686</v>
      </c>
      <c r="D59">
        <f t="shared" si="16"/>
        <v>12377</v>
      </c>
      <c r="E59">
        <f t="shared" si="16"/>
        <v>12934</v>
      </c>
      <c r="F59">
        <f t="shared" si="16"/>
        <v>12966</v>
      </c>
      <c r="G59">
        <f t="shared" si="16"/>
        <v>13270</v>
      </c>
    </row>
    <row r="60" spans="1:7" x14ac:dyDescent="0.3">
      <c r="A60" t="s">
        <v>167</v>
      </c>
      <c r="B60">
        <f t="shared" si="16"/>
        <v>7791</v>
      </c>
      <c r="C60">
        <f t="shared" si="16"/>
        <v>7845</v>
      </c>
      <c r="D60">
        <f t="shared" si="16"/>
        <v>7455</v>
      </c>
      <c r="E60">
        <f t="shared" si="16"/>
        <v>6740</v>
      </c>
      <c r="F60">
        <f t="shared" si="16"/>
        <v>6123</v>
      </c>
      <c r="G60">
        <f t="shared" si="16"/>
        <v>5897</v>
      </c>
    </row>
    <row r="61" spans="1:7" x14ac:dyDescent="0.3">
      <c r="A61" t="s">
        <v>168</v>
      </c>
      <c r="B61">
        <f t="shared" si="16"/>
        <v>7180</v>
      </c>
      <c r="C61">
        <f t="shared" si="16"/>
        <v>7478</v>
      </c>
      <c r="D61">
        <f t="shared" si="16"/>
        <v>7254</v>
      </c>
      <c r="E61">
        <f t="shared" si="16"/>
        <v>7327</v>
      </c>
      <c r="F61">
        <f t="shared" si="16"/>
        <v>6991</v>
      </c>
      <c r="G61">
        <f t="shared" si="16"/>
        <v>7216</v>
      </c>
    </row>
    <row r="62" spans="1:7" x14ac:dyDescent="0.3">
      <c r="A62" t="s">
        <v>169</v>
      </c>
      <c r="B62">
        <f t="shared" si="16"/>
        <v>22486</v>
      </c>
      <c r="C62">
        <f t="shared" si="16"/>
        <v>21859</v>
      </c>
      <c r="D62">
        <f t="shared" si="16"/>
        <v>21177</v>
      </c>
      <c r="E62">
        <f t="shared" si="16"/>
        <v>20161</v>
      </c>
      <c r="F62">
        <f t="shared" si="16"/>
        <v>19973</v>
      </c>
      <c r="G62">
        <f t="shared" si="16"/>
        <v>20889</v>
      </c>
    </row>
    <row r="63" spans="1:7" x14ac:dyDescent="0.3">
      <c r="A63" t="s">
        <v>23</v>
      </c>
      <c r="B63">
        <f t="shared" si="16"/>
        <v>41240</v>
      </c>
      <c r="C63">
        <f t="shared" si="16"/>
        <v>42077</v>
      </c>
      <c r="D63">
        <f t="shared" si="16"/>
        <v>42278</v>
      </c>
      <c r="E63">
        <f t="shared" si="16"/>
        <v>42769</v>
      </c>
      <c r="F63">
        <f t="shared" si="16"/>
        <v>41470</v>
      </c>
      <c r="G63">
        <f t="shared" si="16"/>
        <v>39956</v>
      </c>
    </row>
    <row r="64" spans="1:7" x14ac:dyDescent="0.3">
      <c r="A64" t="s">
        <v>25</v>
      </c>
      <c r="B64">
        <f t="shared" si="16"/>
        <v>37833</v>
      </c>
      <c r="C64">
        <f t="shared" si="16"/>
        <v>38297</v>
      </c>
      <c r="D64">
        <f t="shared" si="16"/>
        <v>39238</v>
      </c>
      <c r="E64">
        <f t="shared" si="16"/>
        <v>38309</v>
      </c>
      <c r="F64">
        <f t="shared" si="16"/>
        <v>39705</v>
      </c>
      <c r="G64">
        <f t="shared" si="16"/>
        <v>39954</v>
      </c>
    </row>
    <row r="65" spans="1:7" x14ac:dyDescent="0.3">
      <c r="A65" t="s">
        <v>26</v>
      </c>
      <c r="B65">
        <f t="shared" ref="B65:G74" si="17">SUM(B15,B39)</f>
        <v>31897</v>
      </c>
      <c r="C65">
        <f t="shared" si="17"/>
        <v>32388</v>
      </c>
      <c r="D65">
        <f t="shared" si="17"/>
        <v>32732</v>
      </c>
      <c r="E65">
        <f t="shared" si="17"/>
        <v>33626</v>
      </c>
      <c r="F65">
        <f t="shared" si="17"/>
        <v>34095</v>
      </c>
      <c r="G65">
        <f t="shared" si="17"/>
        <v>35136</v>
      </c>
    </row>
    <row r="66" spans="1:7" x14ac:dyDescent="0.3">
      <c r="A66" t="s">
        <v>27</v>
      </c>
      <c r="B66">
        <f t="shared" si="17"/>
        <v>33077</v>
      </c>
      <c r="C66">
        <f t="shared" si="17"/>
        <v>31886</v>
      </c>
      <c r="D66">
        <f t="shared" si="17"/>
        <v>31051</v>
      </c>
      <c r="E66">
        <f t="shared" si="17"/>
        <v>30317</v>
      </c>
      <c r="F66">
        <f t="shared" si="17"/>
        <v>31387</v>
      </c>
      <c r="G66">
        <f t="shared" si="17"/>
        <v>29584</v>
      </c>
    </row>
    <row r="67" spans="1:7" x14ac:dyDescent="0.3">
      <c r="A67" t="s">
        <v>29</v>
      </c>
      <c r="B67">
        <f t="shared" si="17"/>
        <v>31998</v>
      </c>
      <c r="C67">
        <f t="shared" si="17"/>
        <v>32133</v>
      </c>
      <c r="D67">
        <f t="shared" si="17"/>
        <v>31164</v>
      </c>
      <c r="E67">
        <f t="shared" si="17"/>
        <v>30482</v>
      </c>
      <c r="F67">
        <f t="shared" si="17"/>
        <v>29910</v>
      </c>
      <c r="G67">
        <f t="shared" si="17"/>
        <v>30046</v>
      </c>
    </row>
    <row r="68" spans="1:7" x14ac:dyDescent="0.3">
      <c r="A68" t="s">
        <v>31</v>
      </c>
      <c r="B68">
        <f t="shared" si="17"/>
        <v>31513</v>
      </c>
      <c r="C68">
        <f t="shared" si="17"/>
        <v>31256</v>
      </c>
      <c r="D68">
        <f t="shared" si="17"/>
        <v>30921</v>
      </c>
      <c r="E68">
        <f t="shared" si="17"/>
        <v>29896</v>
      </c>
      <c r="F68">
        <f t="shared" si="17"/>
        <v>30659</v>
      </c>
      <c r="G68">
        <f t="shared" si="17"/>
        <v>30050</v>
      </c>
    </row>
    <row r="69" spans="1:7" x14ac:dyDescent="0.3">
      <c r="A69" t="s">
        <v>33</v>
      </c>
      <c r="B69">
        <f t="shared" si="17"/>
        <v>26893</v>
      </c>
      <c r="C69">
        <f t="shared" si="17"/>
        <v>26959</v>
      </c>
      <c r="D69">
        <f t="shared" si="17"/>
        <v>27704</v>
      </c>
      <c r="E69">
        <f t="shared" si="17"/>
        <v>28101</v>
      </c>
      <c r="F69">
        <f t="shared" si="17"/>
        <v>29976</v>
      </c>
      <c r="G69">
        <f t="shared" si="17"/>
        <v>29732</v>
      </c>
    </row>
    <row r="70" spans="1:7" x14ac:dyDescent="0.3">
      <c r="A70" t="s">
        <v>171</v>
      </c>
      <c r="B70">
        <f t="shared" si="17"/>
        <v>10837</v>
      </c>
      <c r="C70">
        <f t="shared" si="17"/>
        <v>11125</v>
      </c>
      <c r="D70">
        <f t="shared" si="17"/>
        <v>11020</v>
      </c>
      <c r="E70">
        <f t="shared" si="17"/>
        <v>11050</v>
      </c>
      <c r="F70">
        <f t="shared" si="17"/>
        <v>11266</v>
      </c>
      <c r="G70">
        <f t="shared" si="17"/>
        <v>11088</v>
      </c>
    </row>
    <row r="71" spans="1:7" x14ac:dyDescent="0.3">
      <c r="A71" t="s">
        <v>172</v>
      </c>
      <c r="B71">
        <f t="shared" si="17"/>
        <v>13554</v>
      </c>
      <c r="C71">
        <f t="shared" si="17"/>
        <v>14180</v>
      </c>
      <c r="D71">
        <f t="shared" si="17"/>
        <v>14658</v>
      </c>
      <c r="E71">
        <f t="shared" si="17"/>
        <v>15798</v>
      </c>
      <c r="F71">
        <f t="shared" si="17"/>
        <v>16389</v>
      </c>
      <c r="G71">
        <f t="shared" si="17"/>
        <v>15905</v>
      </c>
    </row>
    <row r="72" spans="1:7" x14ac:dyDescent="0.3">
      <c r="A72" t="s">
        <v>173</v>
      </c>
      <c r="B72">
        <f t="shared" si="17"/>
        <v>8405</v>
      </c>
      <c r="C72">
        <f t="shared" si="17"/>
        <v>8113</v>
      </c>
      <c r="D72">
        <f t="shared" si="17"/>
        <v>8466</v>
      </c>
      <c r="E72">
        <f t="shared" si="17"/>
        <v>8464</v>
      </c>
      <c r="F72">
        <f t="shared" si="17"/>
        <v>8417</v>
      </c>
      <c r="G72">
        <f t="shared" si="17"/>
        <v>8696</v>
      </c>
    </row>
    <row r="73" spans="1:7" x14ac:dyDescent="0.3">
      <c r="A73" t="s">
        <v>174</v>
      </c>
      <c r="B73">
        <f t="shared" si="17"/>
        <v>10577</v>
      </c>
      <c r="C73">
        <f t="shared" si="17"/>
        <v>11244</v>
      </c>
      <c r="D73">
        <f t="shared" si="17"/>
        <v>11265</v>
      </c>
      <c r="E73">
        <f t="shared" si="17"/>
        <v>11461</v>
      </c>
      <c r="F73">
        <f t="shared" si="17"/>
        <v>11655</v>
      </c>
      <c r="G73">
        <f t="shared" si="17"/>
        <v>11711</v>
      </c>
    </row>
    <row r="74" spans="1:7" x14ac:dyDescent="0.3">
      <c r="A74" t="s">
        <v>39</v>
      </c>
      <c r="B74">
        <f t="shared" si="17"/>
        <v>12065</v>
      </c>
      <c r="C74">
        <f t="shared" si="17"/>
        <v>12428</v>
      </c>
      <c r="D74">
        <f t="shared" si="17"/>
        <v>13137</v>
      </c>
      <c r="E74">
        <f t="shared" si="17"/>
        <v>13974</v>
      </c>
      <c r="F74">
        <f t="shared" si="17"/>
        <v>15195</v>
      </c>
      <c r="G74">
        <f t="shared" si="17"/>
        <v>15849</v>
      </c>
    </row>
    <row r="75" spans="1:7" x14ac:dyDescent="0.3">
      <c r="A75" t="s">
        <v>41</v>
      </c>
      <c r="B75">
        <f t="shared" ref="B75:G77" si="18">SUM(B25,B49)</f>
        <v>7389</v>
      </c>
      <c r="C75">
        <f t="shared" si="18"/>
        <v>7728</v>
      </c>
      <c r="D75">
        <f t="shared" si="18"/>
        <v>8369</v>
      </c>
      <c r="E75">
        <f t="shared" si="18"/>
        <v>8153</v>
      </c>
      <c r="F75">
        <f t="shared" si="18"/>
        <v>8818</v>
      </c>
      <c r="G75">
        <f t="shared" si="18"/>
        <v>9426</v>
      </c>
    </row>
    <row r="76" spans="1:7" x14ac:dyDescent="0.3">
      <c r="A76" t="s">
        <v>43</v>
      </c>
      <c r="B76">
        <f t="shared" si="18"/>
        <v>5497</v>
      </c>
      <c r="C76">
        <f t="shared" si="18"/>
        <v>5515</v>
      </c>
      <c r="D76">
        <f t="shared" si="18"/>
        <v>5043</v>
      </c>
      <c r="E76">
        <f t="shared" si="18"/>
        <v>4685</v>
      </c>
      <c r="F76">
        <f t="shared" si="18"/>
        <v>4845</v>
      </c>
      <c r="G76">
        <f t="shared" si="18"/>
        <v>5078</v>
      </c>
    </row>
    <row r="77" spans="1:7" x14ac:dyDescent="0.3">
      <c r="A77" t="s">
        <v>44</v>
      </c>
      <c r="B77">
        <f t="shared" si="18"/>
        <v>6442</v>
      </c>
      <c r="C77">
        <f t="shared" si="18"/>
        <v>6458</v>
      </c>
      <c r="D77">
        <f t="shared" si="18"/>
        <v>7031</v>
      </c>
      <c r="E77">
        <f t="shared" si="18"/>
        <v>7424</v>
      </c>
      <c r="F77">
        <f t="shared" si="18"/>
        <v>7072</v>
      </c>
      <c r="G77">
        <f t="shared" si="18"/>
        <v>7087</v>
      </c>
    </row>
    <row r="78" spans="1:7" x14ac:dyDescent="0.3">
      <c r="A78" s="45" t="s">
        <v>175</v>
      </c>
      <c r="B78" s="13">
        <f t="shared" ref="B78:G78" si="19">SUM(B55:B77)</f>
        <v>470489</v>
      </c>
      <c r="C78" s="13">
        <f t="shared" si="19"/>
        <v>468883</v>
      </c>
      <c r="D78" s="13">
        <f t="shared" si="19"/>
        <v>466776</v>
      </c>
      <c r="E78" s="13">
        <f t="shared" si="19"/>
        <v>462081</v>
      </c>
      <c r="F78" s="13">
        <f t="shared" si="19"/>
        <v>466565</v>
      </c>
      <c r="G78" s="13">
        <f t="shared" si="19"/>
        <v>462293</v>
      </c>
    </row>
    <row r="79" spans="1:7" x14ac:dyDescent="0.3">
      <c r="A79" s="44"/>
      <c r="B79" s="3"/>
      <c r="C79" s="3"/>
      <c r="D79" s="3"/>
      <c r="E79" s="3"/>
      <c r="F79" s="3"/>
      <c r="G79" s="3"/>
    </row>
    <row r="80" spans="1:7" x14ac:dyDescent="0.3">
      <c r="A80" s="172" t="s">
        <v>176</v>
      </c>
      <c r="B80" s="172"/>
      <c r="C80" s="172"/>
      <c r="D80" s="172"/>
      <c r="E80" s="172"/>
      <c r="F80" s="172"/>
      <c r="G80" s="172"/>
    </row>
    <row r="81" spans="1:7" x14ac:dyDescent="0.3">
      <c r="A81" s="162"/>
      <c r="B81">
        <v>2017</v>
      </c>
      <c r="C81">
        <v>2018</v>
      </c>
      <c r="D81">
        <v>2019</v>
      </c>
      <c r="E81">
        <v>2020</v>
      </c>
      <c r="F81">
        <v>2021</v>
      </c>
      <c r="G81">
        <v>2022</v>
      </c>
    </row>
    <row r="82" spans="1:7" x14ac:dyDescent="0.3">
      <c r="A82" s="44" t="s">
        <v>49</v>
      </c>
      <c r="B82" s="3">
        <f t="shared" ref="B82:G82" si="20">SUM(B55)</f>
        <v>32966</v>
      </c>
      <c r="C82" s="3">
        <f t="shared" si="20"/>
        <v>31622</v>
      </c>
      <c r="D82" s="3">
        <f t="shared" si="20"/>
        <v>30438</v>
      </c>
      <c r="E82" s="3">
        <f t="shared" si="20"/>
        <v>28707</v>
      </c>
      <c r="F82" s="3">
        <f t="shared" si="20"/>
        <v>27277</v>
      </c>
      <c r="G82" s="3">
        <f t="shared" si="20"/>
        <v>25083</v>
      </c>
    </row>
    <row r="83" spans="1:7" x14ac:dyDescent="0.3">
      <c r="A83" s="53" t="s">
        <v>51</v>
      </c>
      <c r="B83">
        <f t="shared" ref="B83:G83" si="21">SUM(B56:B57)</f>
        <v>59097</v>
      </c>
      <c r="C83">
        <f t="shared" si="21"/>
        <v>57817</v>
      </c>
      <c r="D83">
        <f t="shared" si="21"/>
        <v>57197</v>
      </c>
      <c r="E83">
        <f t="shared" si="21"/>
        <v>55813</v>
      </c>
      <c r="F83">
        <f t="shared" si="21"/>
        <v>56108</v>
      </c>
      <c r="G83">
        <f t="shared" si="21"/>
        <v>53779</v>
      </c>
    </row>
    <row r="84" spans="1:7" x14ac:dyDescent="0.3">
      <c r="A84" s="44" t="s">
        <v>53</v>
      </c>
      <c r="B84">
        <f t="shared" ref="B84:G84" si="22">SUM(B58:B62)</f>
        <v>69209</v>
      </c>
      <c r="C84">
        <f t="shared" si="22"/>
        <v>67657</v>
      </c>
      <c r="D84">
        <f t="shared" si="22"/>
        <v>65064</v>
      </c>
      <c r="E84">
        <f t="shared" si="22"/>
        <v>63052</v>
      </c>
      <c r="F84">
        <f t="shared" si="22"/>
        <v>62321</v>
      </c>
      <c r="G84">
        <f t="shared" si="22"/>
        <v>64133</v>
      </c>
    </row>
    <row r="85" spans="1:7" x14ac:dyDescent="0.3">
      <c r="A85" s="44" t="s">
        <v>54</v>
      </c>
      <c r="B85">
        <f t="shared" ref="B85:G85" si="23">SUM(B63:B66)</f>
        <v>144047</v>
      </c>
      <c r="C85">
        <f t="shared" si="23"/>
        <v>144648</v>
      </c>
      <c r="D85">
        <f t="shared" si="23"/>
        <v>145299</v>
      </c>
      <c r="E85">
        <f t="shared" si="23"/>
        <v>145021</v>
      </c>
      <c r="F85">
        <f t="shared" si="23"/>
        <v>146657</v>
      </c>
      <c r="G85">
        <f t="shared" si="23"/>
        <v>144630</v>
      </c>
    </row>
    <row r="86" spans="1:7" x14ac:dyDescent="0.3">
      <c r="A86" s="44" t="s">
        <v>55</v>
      </c>
      <c r="B86">
        <f t="shared" ref="B86:G86" si="24">SUM(B67:B71)</f>
        <v>114795</v>
      </c>
      <c r="C86">
        <f t="shared" si="24"/>
        <v>115653</v>
      </c>
      <c r="D86">
        <f t="shared" si="24"/>
        <v>115467</v>
      </c>
      <c r="E86">
        <f t="shared" si="24"/>
        <v>115327</v>
      </c>
      <c r="F86">
        <f t="shared" si="24"/>
        <v>118200</v>
      </c>
      <c r="G86">
        <f t="shared" si="24"/>
        <v>116821</v>
      </c>
    </row>
    <row r="87" spans="1:7" x14ac:dyDescent="0.3">
      <c r="A87" s="44" t="s">
        <v>56</v>
      </c>
      <c r="B87">
        <f t="shared" ref="B87:G87" si="25">SUM(B72:B74)</f>
        <v>31047</v>
      </c>
      <c r="C87">
        <f t="shared" si="25"/>
        <v>31785</v>
      </c>
      <c r="D87">
        <f t="shared" si="25"/>
        <v>32868</v>
      </c>
      <c r="E87">
        <f t="shared" si="25"/>
        <v>33899</v>
      </c>
      <c r="F87">
        <f t="shared" si="25"/>
        <v>35267</v>
      </c>
      <c r="G87">
        <f t="shared" si="25"/>
        <v>36256</v>
      </c>
    </row>
    <row r="88" spans="1:7" x14ac:dyDescent="0.3">
      <c r="A88" s="44" t="s">
        <v>57</v>
      </c>
      <c r="B88">
        <f t="shared" ref="B88:G88" si="26">SUM(B75:B77)</f>
        <v>19328</v>
      </c>
      <c r="C88">
        <f t="shared" si="26"/>
        <v>19701</v>
      </c>
      <c r="D88">
        <f t="shared" si="26"/>
        <v>20443</v>
      </c>
      <c r="E88">
        <f t="shared" si="26"/>
        <v>20262</v>
      </c>
      <c r="F88">
        <f t="shared" si="26"/>
        <v>20735</v>
      </c>
      <c r="G88">
        <f t="shared" si="26"/>
        <v>21591</v>
      </c>
    </row>
    <row r="89" spans="1:7" x14ac:dyDescent="0.3">
      <c r="A89" s="13" t="s">
        <v>151</v>
      </c>
      <c r="B89" s="36">
        <f t="shared" ref="B89:G89" si="27">SUM(B82:B88)</f>
        <v>470489</v>
      </c>
      <c r="C89" s="36">
        <f t="shared" si="27"/>
        <v>468883</v>
      </c>
      <c r="D89" s="36">
        <f t="shared" si="27"/>
        <v>466776</v>
      </c>
      <c r="E89" s="36">
        <f t="shared" si="27"/>
        <v>462081</v>
      </c>
      <c r="F89" s="36">
        <f t="shared" si="27"/>
        <v>466565</v>
      </c>
      <c r="G89" s="36">
        <f t="shared" si="27"/>
        <v>462293</v>
      </c>
    </row>
  </sheetData>
  <mergeCells count="5">
    <mergeCell ref="A1:F1"/>
    <mergeCell ref="A53:G53"/>
    <mergeCell ref="A80:G80"/>
    <mergeCell ref="J2:P2"/>
    <mergeCell ref="J13:P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1C2-410A-4EB6-A6E5-BDB8149FBA25}">
  <dimension ref="A1:P44"/>
  <sheetViews>
    <sheetView zoomScale="96" workbookViewId="0">
      <selection activeCell="C22" sqref="C22"/>
    </sheetView>
  </sheetViews>
  <sheetFormatPr defaultColWidth="9.109375" defaultRowHeight="14.4" x14ac:dyDescent="0.3"/>
  <cols>
    <col min="1" max="1" width="49.33203125" style="10" customWidth="1"/>
    <col min="2" max="2" width="14.109375" style="19" customWidth="1"/>
    <col min="3" max="3" width="31.33203125" style="19" customWidth="1"/>
    <col min="4" max="4" width="15" style="10" customWidth="1"/>
    <col min="5" max="5" width="9.109375" style="14"/>
    <col min="6" max="6" width="15.44140625" style="24" bestFit="1" customWidth="1"/>
    <col min="7" max="7" width="16.6640625" style="24" customWidth="1"/>
    <col min="8" max="12" width="9.109375" style="24"/>
    <col min="13" max="13" width="15.44140625" style="24" customWidth="1"/>
    <col min="14" max="16" width="9.109375" style="24"/>
    <col min="17" max="16384" width="9.109375" style="14"/>
  </cols>
  <sheetData>
    <row r="1" spans="1:7" x14ac:dyDescent="0.3">
      <c r="A1" s="173" t="s">
        <v>177</v>
      </c>
      <c r="B1" s="173"/>
    </row>
    <row r="2" spans="1:7" x14ac:dyDescent="0.3">
      <c r="A2" s="41" t="s">
        <v>178</v>
      </c>
      <c r="B2" s="27"/>
      <c r="C2" t="s">
        <v>179</v>
      </c>
      <c r="F2" s="28"/>
    </row>
    <row r="3" spans="1:7" x14ac:dyDescent="0.3">
      <c r="A3" s="8" t="s">
        <v>2</v>
      </c>
      <c r="B3" s="39">
        <v>326569308</v>
      </c>
      <c r="G3" s="25"/>
    </row>
    <row r="4" spans="1:7" x14ac:dyDescent="0.3">
      <c r="A4" s="8" t="s">
        <v>3</v>
      </c>
      <c r="B4" s="39">
        <v>160818530</v>
      </c>
      <c r="G4" s="26"/>
    </row>
    <row r="5" spans="1:7" x14ac:dyDescent="0.3">
      <c r="A5" s="8" t="s">
        <v>4</v>
      </c>
      <c r="B5" s="39">
        <v>165750778</v>
      </c>
      <c r="G5" s="25"/>
    </row>
    <row r="6" spans="1:7" x14ac:dyDescent="0.3">
      <c r="A6" s="8"/>
      <c r="B6" s="20"/>
    </row>
    <row r="7" spans="1:7" x14ac:dyDescent="0.3">
      <c r="A7" s="29"/>
      <c r="B7" s="22" t="s">
        <v>81</v>
      </c>
      <c r="C7" s="22" t="s">
        <v>82</v>
      </c>
      <c r="D7" s="22" t="s">
        <v>83</v>
      </c>
      <c r="E7" s="4"/>
      <c r="F7"/>
    </row>
    <row r="8" spans="1:7" x14ac:dyDescent="0.3">
      <c r="A8" s="30" t="s">
        <v>83</v>
      </c>
      <c r="B8" s="43">
        <f>SUM(B9:B26)</f>
        <v>160818530</v>
      </c>
      <c r="C8" s="43">
        <f t="shared" ref="C8:D8" si="0">SUM(C9:C26)</f>
        <v>165750778</v>
      </c>
      <c r="D8" s="43">
        <f t="shared" si="0"/>
        <v>326569308</v>
      </c>
      <c r="E8" s="7"/>
      <c r="F8" s="33"/>
    </row>
    <row r="9" spans="1:7" x14ac:dyDescent="0.3">
      <c r="A9" s="8" t="s">
        <v>13</v>
      </c>
      <c r="B9" s="39">
        <v>10051876</v>
      </c>
      <c r="C9" s="39">
        <v>9598316</v>
      </c>
      <c r="D9" s="10">
        <f t="shared" ref="D9:D26" si="1">SUM(B9:C9)</f>
        <v>19650192</v>
      </c>
      <c r="E9" s="7"/>
      <c r="F9" s="34"/>
    </row>
    <row r="10" spans="1:7" x14ac:dyDescent="0.3">
      <c r="A10" s="8" t="s">
        <v>15</v>
      </c>
      <c r="B10" s="39">
        <v>10191107</v>
      </c>
      <c r="C10" s="39">
        <v>9787932</v>
      </c>
      <c r="D10" s="10">
        <f t="shared" si="1"/>
        <v>19979039</v>
      </c>
      <c r="E10" s="7"/>
      <c r="F10" s="33"/>
    </row>
    <row r="11" spans="1:7" x14ac:dyDescent="0.3">
      <c r="A11" s="8" t="s">
        <v>17</v>
      </c>
      <c r="B11" s="39">
        <v>10797748</v>
      </c>
      <c r="C11" s="39">
        <v>10310162</v>
      </c>
      <c r="D11" s="10">
        <f t="shared" si="1"/>
        <v>21107910</v>
      </c>
      <c r="E11" s="7"/>
      <c r="F11" s="33"/>
    </row>
    <row r="12" spans="1:7" x14ac:dyDescent="0.3">
      <c r="A12" s="8" t="s">
        <v>19</v>
      </c>
      <c r="B12" s="39">
        <v>10816797</v>
      </c>
      <c r="C12" s="39">
        <v>10358158</v>
      </c>
      <c r="D12" s="10">
        <f t="shared" si="1"/>
        <v>21174955</v>
      </c>
      <c r="E12" s="7"/>
      <c r="F12" s="33"/>
    </row>
    <row r="13" spans="1:7" x14ac:dyDescent="0.3">
      <c r="A13" s="8" t="s">
        <v>21</v>
      </c>
      <c r="B13" s="39">
        <v>11180449</v>
      </c>
      <c r="C13" s="39">
        <v>10639929</v>
      </c>
      <c r="D13" s="10">
        <f t="shared" si="1"/>
        <v>21820378</v>
      </c>
      <c r="F13" s="33"/>
    </row>
    <row r="14" spans="1:7" x14ac:dyDescent="0.3">
      <c r="A14" s="8" t="s">
        <v>23</v>
      </c>
      <c r="B14" s="39">
        <v>11850355</v>
      </c>
      <c r="C14" s="39">
        <v>11411800</v>
      </c>
      <c r="D14" s="10">
        <f t="shared" si="1"/>
        <v>23262155</v>
      </c>
      <c r="F14" s="33"/>
    </row>
    <row r="15" spans="1:7" x14ac:dyDescent="0.3">
      <c r="A15" s="8" t="s">
        <v>25</v>
      </c>
      <c r="B15" s="39">
        <v>11224653</v>
      </c>
      <c r="C15" s="39">
        <v>10998357</v>
      </c>
      <c r="D15" s="10">
        <f t="shared" si="1"/>
        <v>22223010</v>
      </c>
    </row>
    <row r="16" spans="1:7" x14ac:dyDescent="0.3">
      <c r="A16" s="8" t="s">
        <v>26</v>
      </c>
      <c r="B16" s="39">
        <v>10658796</v>
      </c>
      <c r="C16" s="39">
        <v>10687259</v>
      </c>
      <c r="D16" s="10">
        <f t="shared" si="1"/>
        <v>21346055</v>
      </c>
    </row>
    <row r="17" spans="1:4" x14ac:dyDescent="0.3">
      <c r="A17" s="8" t="s">
        <v>27</v>
      </c>
      <c r="B17" s="39">
        <v>9966088</v>
      </c>
      <c r="C17" s="39">
        <v>10034534</v>
      </c>
      <c r="D17" s="10">
        <f t="shared" si="1"/>
        <v>20000622</v>
      </c>
    </row>
    <row r="18" spans="1:4" x14ac:dyDescent="0.3">
      <c r="A18" s="8" t="s">
        <v>29</v>
      </c>
      <c r="B18" s="39">
        <v>10174825</v>
      </c>
      <c r="C18" s="39">
        <v>10395144</v>
      </c>
      <c r="D18" s="10">
        <f t="shared" si="1"/>
        <v>20569969</v>
      </c>
    </row>
    <row r="19" spans="1:4" x14ac:dyDescent="0.3">
      <c r="A19" s="8" t="s">
        <v>31</v>
      </c>
      <c r="B19" s="39">
        <v>10320033</v>
      </c>
      <c r="C19" s="39">
        <v>10650734</v>
      </c>
      <c r="D19" s="10">
        <f t="shared" si="1"/>
        <v>20970767</v>
      </c>
    </row>
    <row r="20" spans="1:4" x14ac:dyDescent="0.3">
      <c r="A20" s="8" t="s">
        <v>33</v>
      </c>
      <c r="B20" s="39">
        <v>10583556</v>
      </c>
      <c r="C20" s="39">
        <v>11202165</v>
      </c>
      <c r="D20" s="10">
        <f t="shared" si="1"/>
        <v>21785721</v>
      </c>
    </row>
    <row r="21" spans="1:4" x14ac:dyDescent="0.3">
      <c r="A21" s="8" t="s">
        <v>35</v>
      </c>
      <c r="B21" s="39">
        <v>9737984</v>
      </c>
      <c r="C21" s="39">
        <v>10577734</v>
      </c>
      <c r="D21" s="10">
        <f t="shared" si="1"/>
        <v>20315718</v>
      </c>
    </row>
    <row r="22" spans="1:4" x14ac:dyDescent="0.3">
      <c r="A22" s="8" t="s">
        <v>37</v>
      </c>
      <c r="B22" s="39">
        <v>8147845</v>
      </c>
      <c r="C22" s="39">
        <v>9153927</v>
      </c>
      <c r="D22" s="10">
        <f t="shared" si="1"/>
        <v>17301772</v>
      </c>
    </row>
    <row r="23" spans="1:4" x14ac:dyDescent="0.3">
      <c r="A23" s="8" t="s">
        <v>39</v>
      </c>
      <c r="B23" s="39">
        <v>6115586</v>
      </c>
      <c r="C23" s="39">
        <v>7130592</v>
      </c>
      <c r="D23" s="10">
        <f t="shared" si="1"/>
        <v>13246178</v>
      </c>
    </row>
    <row r="24" spans="1:4" x14ac:dyDescent="0.3">
      <c r="A24" s="8" t="s">
        <v>41</v>
      </c>
      <c r="B24" s="39">
        <v>4083235</v>
      </c>
      <c r="C24" s="39">
        <v>5030479</v>
      </c>
      <c r="D24" s="10">
        <f t="shared" si="1"/>
        <v>9113714</v>
      </c>
    </row>
    <row r="25" spans="1:4" x14ac:dyDescent="0.3">
      <c r="A25" s="8" t="s">
        <v>43</v>
      </c>
      <c r="B25" s="39">
        <v>2558706</v>
      </c>
      <c r="C25" s="39">
        <v>3520631</v>
      </c>
      <c r="D25" s="10">
        <f t="shared" si="1"/>
        <v>6079337</v>
      </c>
    </row>
    <row r="26" spans="1:4" x14ac:dyDescent="0.3">
      <c r="A26" s="8" t="s">
        <v>44</v>
      </c>
      <c r="B26" s="39">
        <v>2358891</v>
      </c>
      <c r="C26" s="39">
        <v>4262925</v>
      </c>
      <c r="D26" s="10">
        <f t="shared" si="1"/>
        <v>6621816</v>
      </c>
    </row>
    <row r="28" spans="1:4" x14ac:dyDescent="0.3">
      <c r="A28" s="17" t="s">
        <v>47</v>
      </c>
      <c r="B28" s="22" t="s">
        <v>81</v>
      </c>
      <c r="C28" s="22" t="s">
        <v>82</v>
      </c>
      <c r="D28" s="22" t="s">
        <v>83</v>
      </c>
    </row>
    <row r="29" spans="1:4" x14ac:dyDescent="0.3">
      <c r="A29" s="9" t="s">
        <v>59</v>
      </c>
      <c r="B29" s="42">
        <f>SUM(B9:B12)</f>
        <v>41857528</v>
      </c>
      <c r="C29" s="42">
        <f>SUM(C9:C12)</f>
        <v>40054568</v>
      </c>
      <c r="D29" s="10">
        <f>SUM(B29:C29)</f>
        <v>81912096</v>
      </c>
    </row>
    <row r="30" spans="1:4" x14ac:dyDescent="0.3">
      <c r="A30" s="9" t="s">
        <v>61</v>
      </c>
      <c r="B30" s="42">
        <f>SUM(B13:B17)</f>
        <v>54880341</v>
      </c>
      <c r="C30" s="42">
        <f>SUM(C13:C17)</f>
        <v>53771879</v>
      </c>
      <c r="D30" s="10">
        <f t="shared" ref="D30:D33" si="2">SUM(B30:C30)</f>
        <v>108652220</v>
      </c>
    </row>
    <row r="31" spans="1:4" x14ac:dyDescent="0.3">
      <c r="A31" s="9" t="s">
        <v>62</v>
      </c>
      <c r="B31" s="42">
        <f>SUM(B18:B21)</f>
        <v>40816398</v>
      </c>
      <c r="C31" s="42">
        <f>SUM(C18:C21)</f>
        <v>42825777</v>
      </c>
      <c r="D31" s="10">
        <f t="shared" si="2"/>
        <v>83642175</v>
      </c>
    </row>
    <row r="32" spans="1:4" x14ac:dyDescent="0.3">
      <c r="A32" s="9" t="s">
        <v>64</v>
      </c>
      <c r="B32" s="42">
        <f>SUM(B22:B25)</f>
        <v>20905372</v>
      </c>
      <c r="C32" s="42">
        <f>SUM(C22:C25)</f>
        <v>24835629</v>
      </c>
      <c r="D32" s="10">
        <f t="shared" si="2"/>
        <v>45741001</v>
      </c>
    </row>
    <row r="33" spans="1:4" x14ac:dyDescent="0.3">
      <c r="A33" s="9" t="s">
        <v>65</v>
      </c>
      <c r="B33" s="42">
        <f>B26</f>
        <v>2358891</v>
      </c>
      <c r="C33" s="42">
        <f>C26</f>
        <v>4262925</v>
      </c>
      <c r="D33" s="10">
        <f t="shared" si="2"/>
        <v>6621816</v>
      </c>
    </row>
    <row r="35" spans="1:4" x14ac:dyDescent="0.3">
      <c r="A35" s="17"/>
      <c r="C35" s="31"/>
    </row>
    <row r="36" spans="1:4" ht="15" customHeight="1" x14ac:dyDescent="0.3">
      <c r="C36" s="31"/>
    </row>
    <row r="37" spans="1:4" ht="15" customHeight="1" x14ac:dyDescent="0.3">
      <c r="C37" s="31"/>
      <c r="D37" s="14"/>
    </row>
    <row r="38" spans="1:4" ht="15" customHeight="1" x14ac:dyDescent="0.3">
      <c r="A38" s="18"/>
      <c r="C38" s="31"/>
      <c r="D38" s="14"/>
    </row>
    <row r="39" spans="1:4" ht="15" customHeight="1" x14ac:dyDescent="0.3">
      <c r="A39" s="18"/>
      <c r="C39" s="31"/>
      <c r="D39" s="14"/>
    </row>
    <row r="40" spans="1:4" ht="15" customHeight="1" x14ac:dyDescent="0.3">
      <c r="A40" s="18"/>
      <c r="C40" s="31"/>
      <c r="D40" s="14"/>
    </row>
    <row r="41" spans="1:4" ht="15" customHeight="1" x14ac:dyDescent="0.3">
      <c r="A41" s="18"/>
      <c r="C41" s="31"/>
      <c r="D41" s="14"/>
    </row>
    <row r="42" spans="1:4" ht="15" customHeight="1" x14ac:dyDescent="0.3">
      <c r="A42" s="18"/>
      <c r="C42" s="31"/>
      <c r="D42" s="14"/>
    </row>
    <row r="43" spans="1:4" ht="15" customHeight="1" x14ac:dyDescent="0.3">
      <c r="A43" s="18"/>
      <c r="D43" s="14"/>
    </row>
    <row r="44" spans="1:4" x14ac:dyDescent="0.3">
      <c r="D44" s="14"/>
    </row>
  </sheetData>
  <mergeCells count="1">
    <mergeCell ref="A1:B1"/>
  </mergeCells>
  <hyperlinks>
    <hyperlink ref="A2:B2" r:id="rId1" display="Long Beach Total Population" xr:uid="{4924B0AF-1483-4E28-9B02-57AE186947AC}"/>
    <hyperlink ref="A2" r:id="rId2" xr:uid="{58C637B1-BED8-4BD9-9F5A-69DA9695C1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343-D398-4113-9F15-C400B7E14E98}">
  <dimension ref="A1:B117"/>
  <sheetViews>
    <sheetView tabSelected="1" workbookViewId="0">
      <selection activeCell="B2" sqref="B2"/>
    </sheetView>
  </sheetViews>
  <sheetFormatPr defaultColWidth="8.77734375" defaultRowHeight="14.4" x14ac:dyDescent="0.3"/>
  <sheetData>
    <row r="1" spans="1:2" x14ac:dyDescent="0.3">
      <c r="A1" t="s">
        <v>180</v>
      </c>
      <c r="B1" t="s">
        <v>181</v>
      </c>
    </row>
    <row r="2" spans="1:2" x14ac:dyDescent="0.3">
      <c r="A2" s="44">
        <v>544002</v>
      </c>
      <c r="B2" s="44">
        <v>3836</v>
      </c>
    </row>
    <row r="3" spans="1:2" x14ac:dyDescent="0.3">
      <c r="A3" s="44">
        <v>555202</v>
      </c>
      <c r="B3" s="44">
        <v>3829</v>
      </c>
    </row>
    <row r="4" spans="1:2" x14ac:dyDescent="0.3">
      <c r="A4" s="44">
        <v>570100</v>
      </c>
      <c r="B4" s="44">
        <v>3282</v>
      </c>
    </row>
    <row r="5" spans="1:2" x14ac:dyDescent="0.3">
      <c r="A5" s="44">
        <v>570202</v>
      </c>
      <c r="B5" s="44">
        <v>6552</v>
      </c>
    </row>
    <row r="6" spans="1:2" x14ac:dyDescent="0.3">
      <c r="A6" s="44">
        <v>570203</v>
      </c>
      <c r="B6" s="44">
        <v>4432</v>
      </c>
    </row>
    <row r="7" spans="1:2" x14ac:dyDescent="0.3">
      <c r="A7" s="44">
        <v>570204</v>
      </c>
      <c r="B7" s="44">
        <v>4581</v>
      </c>
    </row>
    <row r="8" spans="1:2" x14ac:dyDescent="0.3">
      <c r="A8" s="44">
        <v>570303</v>
      </c>
      <c r="B8" s="44">
        <v>4576</v>
      </c>
    </row>
    <row r="9" spans="1:2" x14ac:dyDescent="0.3">
      <c r="A9" s="44">
        <v>570304</v>
      </c>
      <c r="B9" s="44">
        <v>4968</v>
      </c>
    </row>
    <row r="10" spans="1:2" x14ac:dyDescent="0.3">
      <c r="A10" s="44">
        <v>570305</v>
      </c>
      <c r="B10" s="44">
        <v>4163</v>
      </c>
    </row>
    <row r="11" spans="1:2" x14ac:dyDescent="0.3">
      <c r="A11" s="44">
        <v>570306</v>
      </c>
      <c r="B11" s="44">
        <v>2930</v>
      </c>
    </row>
    <row r="12" spans="1:2" x14ac:dyDescent="0.3">
      <c r="A12" s="44">
        <v>570402</v>
      </c>
      <c r="B12" s="44">
        <v>3572</v>
      </c>
    </row>
    <row r="13" spans="1:2" x14ac:dyDescent="0.3">
      <c r="A13" s="44">
        <v>570403</v>
      </c>
      <c r="B13" s="44">
        <v>4116</v>
      </c>
    </row>
    <row r="14" spans="1:2" x14ac:dyDescent="0.3">
      <c r="A14" s="44">
        <v>570404</v>
      </c>
      <c r="B14" s="44">
        <v>3901</v>
      </c>
    </row>
    <row r="15" spans="1:2" x14ac:dyDescent="0.3">
      <c r="A15" s="44">
        <v>570502</v>
      </c>
      <c r="B15" s="44">
        <v>6259</v>
      </c>
    </row>
    <row r="16" spans="1:2" x14ac:dyDescent="0.3">
      <c r="A16" s="44">
        <v>570503</v>
      </c>
      <c r="B16" s="44">
        <v>4121</v>
      </c>
    </row>
    <row r="17" spans="1:2" x14ac:dyDescent="0.3">
      <c r="A17" s="44">
        <v>570504</v>
      </c>
      <c r="B17" s="44">
        <v>3815</v>
      </c>
    </row>
    <row r="18" spans="1:2" x14ac:dyDescent="0.3">
      <c r="A18" s="44">
        <v>570601</v>
      </c>
      <c r="B18" s="44">
        <v>6243</v>
      </c>
    </row>
    <row r="19" spans="1:2" x14ac:dyDescent="0.3">
      <c r="A19" s="44">
        <v>570602</v>
      </c>
      <c r="B19" s="44">
        <v>5498</v>
      </c>
    </row>
    <row r="20" spans="1:2" x14ac:dyDescent="0.3">
      <c r="A20" s="44">
        <v>570603</v>
      </c>
      <c r="B20" s="44">
        <v>5130</v>
      </c>
    </row>
    <row r="21" spans="1:2" x14ac:dyDescent="0.3">
      <c r="A21" s="44">
        <v>571201</v>
      </c>
      <c r="B21" s="44">
        <v>3919</v>
      </c>
    </row>
    <row r="22" spans="1:2" x14ac:dyDescent="0.3">
      <c r="A22" s="44">
        <v>571202</v>
      </c>
      <c r="B22" s="44">
        <v>3999</v>
      </c>
    </row>
    <row r="23" spans="1:2" x14ac:dyDescent="0.3">
      <c r="A23" s="44">
        <v>571300</v>
      </c>
      <c r="B23" s="44">
        <v>4391</v>
      </c>
    </row>
    <row r="24" spans="1:2" x14ac:dyDescent="0.3">
      <c r="A24" s="44">
        <v>571502</v>
      </c>
      <c r="B24" s="44">
        <v>5051</v>
      </c>
    </row>
    <row r="25" spans="1:2" x14ac:dyDescent="0.3">
      <c r="A25" s="44">
        <v>571504</v>
      </c>
      <c r="B25" s="44">
        <v>5145</v>
      </c>
    </row>
    <row r="26" spans="1:2" x14ac:dyDescent="0.3">
      <c r="A26" s="44">
        <v>571505</v>
      </c>
      <c r="B26" s="44">
        <v>3149</v>
      </c>
    </row>
    <row r="27" spans="1:2" x14ac:dyDescent="0.3">
      <c r="A27" s="44">
        <v>571600</v>
      </c>
      <c r="B27" s="44">
        <v>2299</v>
      </c>
    </row>
    <row r="28" spans="1:2" x14ac:dyDescent="0.3">
      <c r="A28" s="44">
        <v>571701</v>
      </c>
      <c r="B28" s="44">
        <v>6800</v>
      </c>
    </row>
    <row r="29" spans="1:2" x14ac:dyDescent="0.3">
      <c r="A29" s="44">
        <v>571703</v>
      </c>
      <c r="B29" s="44">
        <v>3388</v>
      </c>
    </row>
    <row r="30" spans="1:2" x14ac:dyDescent="0.3">
      <c r="A30" s="44">
        <v>571704</v>
      </c>
      <c r="B30" s="44">
        <v>3896</v>
      </c>
    </row>
    <row r="31" spans="1:2" x14ac:dyDescent="0.3">
      <c r="A31" s="44">
        <v>571800</v>
      </c>
      <c r="B31" s="44">
        <v>3305</v>
      </c>
    </row>
    <row r="32" spans="1:2" x14ac:dyDescent="0.3">
      <c r="A32" s="44">
        <v>571900</v>
      </c>
      <c r="B32" s="44">
        <v>5676</v>
      </c>
    </row>
    <row r="33" spans="1:2" x14ac:dyDescent="0.3">
      <c r="A33" s="44">
        <v>572001</v>
      </c>
      <c r="B33" s="44">
        <v>6267</v>
      </c>
    </row>
    <row r="34" spans="1:2" x14ac:dyDescent="0.3">
      <c r="A34" s="44">
        <v>572201</v>
      </c>
      <c r="B34" s="44">
        <v>5553</v>
      </c>
    </row>
    <row r="35" spans="1:2" x14ac:dyDescent="0.3">
      <c r="A35" s="44">
        <v>572202</v>
      </c>
      <c r="B35" s="44">
        <v>3375</v>
      </c>
    </row>
    <row r="36" spans="1:2" x14ac:dyDescent="0.3">
      <c r="A36" s="44">
        <v>572301</v>
      </c>
      <c r="B36" s="44">
        <v>3805</v>
      </c>
    </row>
    <row r="37" spans="1:2" x14ac:dyDescent="0.3">
      <c r="A37" s="44">
        <v>572500</v>
      </c>
      <c r="B37" s="44">
        <v>3681</v>
      </c>
    </row>
    <row r="38" spans="1:2" x14ac:dyDescent="0.3">
      <c r="A38" s="44">
        <v>572600</v>
      </c>
      <c r="B38" s="44">
        <v>4923</v>
      </c>
    </row>
    <row r="39" spans="1:2" x14ac:dyDescent="0.3">
      <c r="A39" s="44">
        <v>572700</v>
      </c>
      <c r="B39" s="44">
        <v>5361</v>
      </c>
    </row>
    <row r="40" spans="1:2" x14ac:dyDescent="0.3">
      <c r="A40" s="44">
        <v>573002</v>
      </c>
      <c r="B40" s="44">
        <v>3464</v>
      </c>
    </row>
    <row r="41" spans="1:2" x14ac:dyDescent="0.3">
      <c r="A41" s="44">
        <v>573003</v>
      </c>
      <c r="B41" s="44">
        <v>1813</v>
      </c>
    </row>
    <row r="42" spans="1:2" x14ac:dyDescent="0.3">
      <c r="A42" s="44">
        <v>573004</v>
      </c>
      <c r="B42" s="44">
        <v>4977</v>
      </c>
    </row>
    <row r="43" spans="1:2" x14ac:dyDescent="0.3">
      <c r="A43" s="44">
        <v>573101</v>
      </c>
      <c r="B43" s="44">
        <v>4583</v>
      </c>
    </row>
    <row r="44" spans="1:2" x14ac:dyDescent="0.3">
      <c r="A44" s="44">
        <v>573102</v>
      </c>
      <c r="B44" s="44">
        <v>2795</v>
      </c>
    </row>
    <row r="45" spans="1:2" x14ac:dyDescent="0.3">
      <c r="A45" s="44">
        <v>573201</v>
      </c>
      <c r="B45" s="44">
        <v>4422</v>
      </c>
    </row>
    <row r="46" spans="1:2" x14ac:dyDescent="0.3">
      <c r="A46" s="44">
        <v>573202</v>
      </c>
      <c r="B46" s="44">
        <v>6685</v>
      </c>
    </row>
    <row r="47" spans="1:2" x14ac:dyDescent="0.3">
      <c r="A47" s="44">
        <v>573300</v>
      </c>
      <c r="B47" s="44">
        <v>4203</v>
      </c>
    </row>
    <row r="48" spans="1:2" x14ac:dyDescent="0.3">
      <c r="A48" s="44">
        <v>573601</v>
      </c>
      <c r="B48" s="44">
        <v>6335</v>
      </c>
    </row>
    <row r="49" spans="1:2" x14ac:dyDescent="0.3">
      <c r="A49" s="44">
        <v>573700</v>
      </c>
      <c r="B49" s="44">
        <v>5177</v>
      </c>
    </row>
    <row r="50" spans="1:2" x14ac:dyDescent="0.3">
      <c r="A50" s="44">
        <v>573800</v>
      </c>
      <c r="B50" s="44">
        <v>4359</v>
      </c>
    </row>
    <row r="51" spans="1:2" x14ac:dyDescent="0.3">
      <c r="A51" s="44">
        <v>573902</v>
      </c>
      <c r="B51" s="44">
        <v>2012</v>
      </c>
    </row>
    <row r="52" spans="1:2" x14ac:dyDescent="0.3">
      <c r="A52" s="44">
        <v>574000</v>
      </c>
      <c r="B52" s="44">
        <v>5182</v>
      </c>
    </row>
    <row r="53" spans="1:2" x14ac:dyDescent="0.3">
      <c r="A53" s="44">
        <v>574100</v>
      </c>
      <c r="B53" s="44">
        <v>5227</v>
      </c>
    </row>
    <row r="54" spans="1:2" x14ac:dyDescent="0.3">
      <c r="A54" s="44">
        <v>574201</v>
      </c>
      <c r="B54" s="44">
        <v>3089</v>
      </c>
    </row>
    <row r="55" spans="1:2" x14ac:dyDescent="0.3">
      <c r="A55" s="44">
        <v>574202</v>
      </c>
      <c r="B55" s="44">
        <v>2376</v>
      </c>
    </row>
    <row r="56" spans="1:2" x14ac:dyDescent="0.3">
      <c r="A56" s="44">
        <v>574300</v>
      </c>
      <c r="B56" s="44">
        <v>6182</v>
      </c>
    </row>
    <row r="57" spans="1:2" x14ac:dyDescent="0.3">
      <c r="A57" s="44">
        <v>574400</v>
      </c>
      <c r="B57" s="44">
        <v>5790</v>
      </c>
    </row>
    <row r="58" spans="1:2" x14ac:dyDescent="0.3">
      <c r="A58" s="44">
        <v>574500</v>
      </c>
      <c r="B58" s="44">
        <v>6793</v>
      </c>
    </row>
    <row r="59" spans="1:2" x14ac:dyDescent="0.3">
      <c r="A59" s="44">
        <v>574602</v>
      </c>
      <c r="B59" s="44">
        <v>1311</v>
      </c>
    </row>
    <row r="60" spans="1:2" x14ac:dyDescent="0.3">
      <c r="A60" s="44">
        <v>574800</v>
      </c>
      <c r="B60" s="44">
        <v>3130</v>
      </c>
    </row>
    <row r="61" spans="1:2" x14ac:dyDescent="0.3">
      <c r="A61" s="44">
        <v>574901</v>
      </c>
      <c r="B61" s="44">
        <v>3849</v>
      </c>
    </row>
    <row r="62" spans="1:2" x14ac:dyDescent="0.3">
      <c r="A62" s="44">
        <v>574902</v>
      </c>
      <c r="B62" s="44">
        <v>5642</v>
      </c>
    </row>
    <row r="63" spans="1:2" x14ac:dyDescent="0.3">
      <c r="A63" s="44">
        <v>575001</v>
      </c>
      <c r="B63" s="44">
        <v>4295</v>
      </c>
    </row>
    <row r="64" spans="1:2" x14ac:dyDescent="0.3">
      <c r="A64" s="44">
        <v>575002</v>
      </c>
      <c r="B64" s="44">
        <v>4497</v>
      </c>
    </row>
    <row r="65" spans="1:2" x14ac:dyDescent="0.3">
      <c r="A65" s="44">
        <v>575101</v>
      </c>
      <c r="B65" s="44">
        <v>4210</v>
      </c>
    </row>
    <row r="66" spans="1:2" x14ac:dyDescent="0.3">
      <c r="A66" s="44">
        <v>575102</v>
      </c>
      <c r="B66" s="44">
        <v>4336</v>
      </c>
    </row>
    <row r="67" spans="1:2" x14ac:dyDescent="0.3">
      <c r="A67" s="44">
        <v>575103</v>
      </c>
      <c r="B67" s="44">
        <v>5239</v>
      </c>
    </row>
    <row r="68" spans="1:2" x14ac:dyDescent="0.3">
      <c r="A68" s="44">
        <v>575201</v>
      </c>
      <c r="B68" s="44">
        <v>4986</v>
      </c>
    </row>
    <row r="69" spans="1:2" x14ac:dyDescent="0.3">
      <c r="A69" s="44">
        <v>575202</v>
      </c>
      <c r="B69" s="44">
        <v>3851</v>
      </c>
    </row>
    <row r="70" spans="1:2" x14ac:dyDescent="0.3">
      <c r="A70" s="44">
        <v>575300</v>
      </c>
      <c r="B70" s="44">
        <v>4379</v>
      </c>
    </row>
    <row r="71" spans="1:2" x14ac:dyDescent="0.3">
      <c r="A71" s="44">
        <v>575401</v>
      </c>
      <c r="B71" s="44">
        <v>4714</v>
      </c>
    </row>
    <row r="72" spans="1:2" x14ac:dyDescent="0.3">
      <c r="A72" s="44">
        <v>575402</v>
      </c>
      <c r="B72" s="44">
        <v>3878</v>
      </c>
    </row>
    <row r="73" spans="1:2" x14ac:dyDescent="0.3">
      <c r="A73" s="44">
        <v>575801</v>
      </c>
      <c r="B73" s="44">
        <v>2270</v>
      </c>
    </row>
    <row r="74" spans="1:2" x14ac:dyDescent="0.3">
      <c r="A74" s="44">
        <v>575802</v>
      </c>
      <c r="B74" s="44">
        <v>5171</v>
      </c>
    </row>
    <row r="75" spans="1:2" x14ac:dyDescent="0.3">
      <c r="A75" s="44">
        <v>575803</v>
      </c>
      <c r="B75" s="44">
        <v>3175</v>
      </c>
    </row>
    <row r="76" spans="1:2" x14ac:dyDescent="0.3">
      <c r="A76" s="44">
        <v>575901</v>
      </c>
      <c r="B76" s="44">
        <v>3675</v>
      </c>
    </row>
    <row r="77" spans="1:2" x14ac:dyDescent="0.3">
      <c r="A77" s="44">
        <v>575902</v>
      </c>
      <c r="B77" s="44">
        <v>4953</v>
      </c>
    </row>
    <row r="78" spans="1:2" x14ac:dyDescent="0.3">
      <c r="A78" s="44">
        <v>576001</v>
      </c>
      <c r="B78" s="44">
        <v>5173</v>
      </c>
    </row>
    <row r="79" spans="1:2" x14ac:dyDescent="0.3">
      <c r="A79" s="44">
        <v>576200</v>
      </c>
      <c r="B79" s="44">
        <v>5049</v>
      </c>
    </row>
    <row r="80" spans="1:2" x14ac:dyDescent="0.3">
      <c r="A80" s="44">
        <v>576301</v>
      </c>
      <c r="B80" s="44">
        <v>4669</v>
      </c>
    </row>
    <row r="81" spans="1:2" x14ac:dyDescent="0.3">
      <c r="A81" s="44">
        <v>576302</v>
      </c>
      <c r="B81" s="44">
        <v>3318</v>
      </c>
    </row>
    <row r="82" spans="1:2" x14ac:dyDescent="0.3">
      <c r="A82" s="44">
        <v>576401</v>
      </c>
      <c r="B82" s="44">
        <v>4578</v>
      </c>
    </row>
    <row r="83" spans="1:2" x14ac:dyDescent="0.3">
      <c r="A83" s="44">
        <v>576402</v>
      </c>
      <c r="B83" s="44">
        <v>4760</v>
      </c>
    </row>
    <row r="84" spans="1:2" x14ac:dyDescent="0.3">
      <c r="A84" s="44">
        <v>576403</v>
      </c>
      <c r="B84" s="44">
        <v>5303</v>
      </c>
    </row>
    <row r="85" spans="1:2" x14ac:dyDescent="0.3">
      <c r="A85" s="44">
        <v>576501</v>
      </c>
      <c r="B85" s="44">
        <v>3186</v>
      </c>
    </row>
    <row r="86" spans="1:2" x14ac:dyDescent="0.3">
      <c r="A86" s="44">
        <v>576502</v>
      </c>
      <c r="B86" s="44">
        <v>5111</v>
      </c>
    </row>
    <row r="87" spans="1:2" x14ac:dyDescent="0.3">
      <c r="A87" s="44">
        <v>576503</v>
      </c>
      <c r="B87" s="44">
        <v>4039</v>
      </c>
    </row>
    <row r="88" spans="1:2" x14ac:dyDescent="0.3">
      <c r="A88" s="44">
        <v>576601</v>
      </c>
      <c r="B88" s="44">
        <v>3894</v>
      </c>
    </row>
    <row r="89" spans="1:2" x14ac:dyDescent="0.3">
      <c r="A89" s="44">
        <v>576602</v>
      </c>
      <c r="B89" s="44">
        <v>4876</v>
      </c>
    </row>
    <row r="90" spans="1:2" x14ac:dyDescent="0.3">
      <c r="A90" s="44">
        <v>576700</v>
      </c>
      <c r="B90" s="44">
        <v>4120</v>
      </c>
    </row>
    <row r="91" spans="1:2" x14ac:dyDescent="0.3">
      <c r="A91" s="44">
        <v>576801</v>
      </c>
      <c r="B91" s="44">
        <v>3780</v>
      </c>
    </row>
    <row r="92" spans="1:2" x14ac:dyDescent="0.3">
      <c r="A92" s="44">
        <v>576802</v>
      </c>
      <c r="B92" s="44">
        <v>4039</v>
      </c>
    </row>
    <row r="93" spans="1:2" x14ac:dyDescent="0.3">
      <c r="A93" s="44">
        <v>576901</v>
      </c>
      <c r="B93" s="44">
        <v>5165</v>
      </c>
    </row>
    <row r="94" spans="1:2" x14ac:dyDescent="0.3">
      <c r="A94" s="44">
        <v>576903</v>
      </c>
      <c r="B94" s="44">
        <v>3371</v>
      </c>
    </row>
    <row r="95" spans="1:2" x14ac:dyDescent="0.3">
      <c r="A95" s="44">
        <v>576904</v>
      </c>
      <c r="B95" s="44">
        <v>3099</v>
      </c>
    </row>
    <row r="96" spans="1:2" x14ac:dyDescent="0.3">
      <c r="A96" s="44">
        <v>577000</v>
      </c>
      <c r="B96" s="44">
        <v>6925</v>
      </c>
    </row>
    <row r="97" spans="1:2" x14ac:dyDescent="0.3">
      <c r="A97" s="44">
        <v>577100</v>
      </c>
      <c r="B97" s="44">
        <v>7266</v>
      </c>
    </row>
    <row r="98" spans="1:2" x14ac:dyDescent="0.3">
      <c r="A98" s="44">
        <v>577200</v>
      </c>
      <c r="B98" s="44">
        <v>5905</v>
      </c>
    </row>
    <row r="99" spans="1:2" x14ac:dyDescent="0.3">
      <c r="A99" s="44">
        <v>577300</v>
      </c>
      <c r="B99" s="44">
        <v>5773</v>
      </c>
    </row>
    <row r="100" spans="1:2" x14ac:dyDescent="0.3">
      <c r="A100" s="44">
        <v>577400</v>
      </c>
      <c r="B100" s="44">
        <v>2995</v>
      </c>
    </row>
    <row r="101" spans="1:2" x14ac:dyDescent="0.3">
      <c r="A101" s="44">
        <v>577501</v>
      </c>
      <c r="B101" s="44">
        <v>3359</v>
      </c>
    </row>
    <row r="102" spans="1:2" x14ac:dyDescent="0.3">
      <c r="A102" s="44">
        <v>577504</v>
      </c>
      <c r="B102" s="44">
        <v>1333</v>
      </c>
    </row>
    <row r="103" spans="1:2" x14ac:dyDescent="0.3">
      <c r="A103" s="44">
        <v>577602</v>
      </c>
      <c r="B103" s="44">
        <v>3037</v>
      </c>
    </row>
    <row r="104" spans="1:2" x14ac:dyDescent="0.3">
      <c r="A104" s="44">
        <v>577604</v>
      </c>
      <c r="B104" s="44">
        <v>1613</v>
      </c>
    </row>
    <row r="105" spans="1:2" x14ac:dyDescent="0.3">
      <c r="A105" s="44">
        <v>577605</v>
      </c>
      <c r="B105" s="44">
        <v>4165</v>
      </c>
    </row>
    <row r="106" spans="1:2" x14ac:dyDescent="0.3">
      <c r="A106" s="44">
        <v>577606</v>
      </c>
      <c r="B106" s="44">
        <v>3982</v>
      </c>
    </row>
    <row r="107" spans="1:2" x14ac:dyDescent="0.3">
      <c r="A107" s="44">
        <v>577700</v>
      </c>
      <c r="B107" s="44">
        <v>4605</v>
      </c>
    </row>
    <row r="108" spans="1:2" x14ac:dyDescent="0.3">
      <c r="A108" s="44">
        <v>577900</v>
      </c>
      <c r="B108" s="44">
        <v>5808</v>
      </c>
    </row>
    <row r="109" spans="1:2" x14ac:dyDescent="0.3">
      <c r="A109" s="44">
        <v>578000</v>
      </c>
      <c r="B109" s="44">
        <v>6647</v>
      </c>
    </row>
    <row r="110" spans="1:2" x14ac:dyDescent="0.3">
      <c r="A110" s="44">
        <v>578100</v>
      </c>
      <c r="B110" s="44">
        <v>2361</v>
      </c>
    </row>
    <row r="111" spans="1:2" x14ac:dyDescent="0.3">
      <c r="A111" s="44">
        <v>980006</v>
      </c>
      <c r="B111" s="44">
        <v>0</v>
      </c>
    </row>
    <row r="112" spans="1:2" x14ac:dyDescent="0.3">
      <c r="A112" s="44">
        <v>980007</v>
      </c>
      <c r="B112" s="44">
        <v>0</v>
      </c>
    </row>
    <row r="113" spans="1:2" x14ac:dyDescent="0.3">
      <c r="A113" s="44">
        <v>980011</v>
      </c>
      <c r="B113" s="44">
        <v>65</v>
      </c>
    </row>
    <row r="114" spans="1:2" x14ac:dyDescent="0.3">
      <c r="A114" s="44">
        <v>980018</v>
      </c>
      <c r="B114" s="44">
        <v>0</v>
      </c>
    </row>
    <row r="115" spans="1:2" x14ac:dyDescent="0.3">
      <c r="A115" s="44">
        <v>980033</v>
      </c>
      <c r="B115" s="44">
        <v>13</v>
      </c>
    </row>
    <row r="116" spans="1:2" x14ac:dyDescent="0.3">
      <c r="A116" s="44">
        <v>990300</v>
      </c>
      <c r="B116" s="44">
        <v>0</v>
      </c>
    </row>
    <row r="117" spans="1:2" x14ac:dyDescent="0.3">
      <c r="B117" s="44">
        <v>466565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7ACA-619C-42ED-A9CD-133CB19D3168}">
  <dimension ref="A1:Q328"/>
  <sheetViews>
    <sheetView zoomScale="106" zoomScaleNormal="106" workbookViewId="0">
      <selection activeCell="C320" sqref="C320"/>
    </sheetView>
  </sheetViews>
  <sheetFormatPr defaultColWidth="8.77734375" defaultRowHeight="14.4" x14ac:dyDescent="0.3"/>
  <cols>
    <col min="1" max="1" width="18.44140625" style="12" bestFit="1" customWidth="1"/>
    <col min="2" max="4" width="9.109375" style="36"/>
    <col min="5" max="6" width="11.44140625" style="36" customWidth="1"/>
    <col min="7" max="7" width="11.109375" style="36" customWidth="1"/>
    <col min="8" max="8" width="11" style="36" customWidth="1"/>
    <col min="9" max="9" width="11.44140625" style="36" customWidth="1"/>
    <col min="10" max="11" width="11.109375" style="36" bestFit="1" customWidth="1"/>
    <col min="12" max="12" width="11.109375" style="36" customWidth="1"/>
  </cols>
  <sheetData>
    <row r="1" spans="1:15" x14ac:dyDescent="0.3">
      <c r="A1" s="12" t="s">
        <v>182</v>
      </c>
    </row>
    <row r="2" spans="1:15" x14ac:dyDescent="0.3">
      <c r="A2" s="66" t="s">
        <v>183</v>
      </c>
    </row>
    <row r="3" spans="1:15" x14ac:dyDescent="0.3">
      <c r="A3" s="149" t="s">
        <v>184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x14ac:dyDescent="0.3">
      <c r="A4" s="15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x14ac:dyDescent="0.3">
      <c r="A5" s="150"/>
      <c r="B5" s="70">
        <v>90802</v>
      </c>
      <c r="C5" s="70">
        <v>90803</v>
      </c>
      <c r="D5" s="70">
        <v>90804</v>
      </c>
      <c r="E5" s="70">
        <v>90805</v>
      </c>
      <c r="F5" s="70">
        <v>90806</v>
      </c>
      <c r="G5" s="70">
        <v>90807</v>
      </c>
      <c r="H5" s="70">
        <v>90808</v>
      </c>
      <c r="I5" s="70">
        <v>90810</v>
      </c>
      <c r="J5" s="70">
        <v>90813</v>
      </c>
      <c r="K5" s="70">
        <v>90814</v>
      </c>
      <c r="L5" s="70">
        <v>90815</v>
      </c>
      <c r="O5" s="70">
        <v>90802</v>
      </c>
    </row>
    <row r="6" spans="1:15" x14ac:dyDescent="0.3">
      <c r="A6" s="150" t="s">
        <v>83</v>
      </c>
      <c r="B6" s="80">
        <v>39873</v>
      </c>
      <c r="C6" s="80">
        <v>31680</v>
      </c>
      <c r="D6" s="80">
        <v>40751</v>
      </c>
      <c r="E6" s="80">
        <v>95808</v>
      </c>
      <c r="F6" s="80">
        <v>42312</v>
      </c>
      <c r="G6" s="80">
        <v>33217</v>
      </c>
      <c r="H6" s="80">
        <v>38637</v>
      </c>
      <c r="I6" s="80">
        <v>37422</v>
      </c>
      <c r="J6" s="80">
        <v>60997</v>
      </c>
      <c r="K6" s="80">
        <v>18760</v>
      </c>
      <c r="L6" s="80">
        <v>39822</v>
      </c>
      <c r="O6" s="70">
        <v>90803</v>
      </c>
    </row>
    <row r="7" spans="1:15" x14ac:dyDescent="0.3">
      <c r="A7" s="12" t="s">
        <v>185</v>
      </c>
      <c r="B7">
        <v>2192</v>
      </c>
      <c r="C7">
        <v>760</v>
      </c>
      <c r="D7">
        <v>2916</v>
      </c>
      <c r="E7">
        <v>8176</v>
      </c>
      <c r="F7">
        <v>3215</v>
      </c>
      <c r="G7">
        <v>2515</v>
      </c>
      <c r="H7">
        <v>2045</v>
      </c>
      <c r="I7">
        <v>2784</v>
      </c>
      <c r="J7">
        <v>6360</v>
      </c>
      <c r="K7">
        <v>841</v>
      </c>
      <c r="L7">
        <v>2269</v>
      </c>
      <c r="O7" s="70">
        <v>90804</v>
      </c>
    </row>
    <row r="8" spans="1:15" x14ac:dyDescent="0.3">
      <c r="A8" s="12" t="s">
        <v>186</v>
      </c>
      <c r="B8">
        <v>1421</v>
      </c>
      <c r="C8">
        <v>1249</v>
      </c>
      <c r="D8">
        <v>2736</v>
      </c>
      <c r="E8">
        <v>8027</v>
      </c>
      <c r="F8">
        <v>3113</v>
      </c>
      <c r="G8">
        <v>1739</v>
      </c>
      <c r="H8">
        <v>2226</v>
      </c>
      <c r="I8">
        <v>2687</v>
      </c>
      <c r="J8">
        <v>5490</v>
      </c>
      <c r="K8">
        <v>794</v>
      </c>
      <c r="L8">
        <v>1771</v>
      </c>
      <c r="O8" s="70">
        <v>90805</v>
      </c>
    </row>
    <row r="9" spans="1:15" x14ac:dyDescent="0.3">
      <c r="A9" s="12" t="s">
        <v>187</v>
      </c>
      <c r="B9">
        <v>1591</v>
      </c>
      <c r="C9">
        <v>1016</v>
      </c>
      <c r="D9">
        <v>1970</v>
      </c>
      <c r="E9">
        <v>7204</v>
      </c>
      <c r="F9">
        <v>3189</v>
      </c>
      <c r="G9">
        <v>1790</v>
      </c>
      <c r="H9">
        <v>2250</v>
      </c>
      <c r="I9">
        <v>2633</v>
      </c>
      <c r="J9">
        <v>5054</v>
      </c>
      <c r="K9">
        <v>786</v>
      </c>
      <c r="L9">
        <v>1970</v>
      </c>
      <c r="O9" s="70">
        <v>90806</v>
      </c>
    </row>
    <row r="10" spans="1:15" x14ac:dyDescent="0.3">
      <c r="A10" s="12" t="s">
        <v>188</v>
      </c>
      <c r="B10">
        <v>1133</v>
      </c>
      <c r="C10">
        <v>781</v>
      </c>
      <c r="D10">
        <v>1751</v>
      </c>
      <c r="E10">
        <v>5177</v>
      </c>
      <c r="F10">
        <v>1972</v>
      </c>
      <c r="G10">
        <v>1255</v>
      </c>
      <c r="H10">
        <v>1541</v>
      </c>
      <c r="I10">
        <v>1978</v>
      </c>
      <c r="J10">
        <v>3286</v>
      </c>
      <c r="K10">
        <v>483</v>
      </c>
      <c r="L10">
        <v>1322</v>
      </c>
      <c r="O10" s="70">
        <v>90807</v>
      </c>
    </row>
    <row r="11" spans="1:15" x14ac:dyDescent="0.3">
      <c r="A11" s="12" t="s">
        <v>189</v>
      </c>
      <c r="B11">
        <v>585</v>
      </c>
      <c r="C11">
        <v>233</v>
      </c>
      <c r="D11">
        <v>1094</v>
      </c>
      <c r="E11">
        <v>2650</v>
      </c>
      <c r="F11">
        <v>1470</v>
      </c>
      <c r="G11">
        <v>488</v>
      </c>
      <c r="H11">
        <v>924</v>
      </c>
      <c r="I11">
        <v>1242</v>
      </c>
      <c r="J11">
        <v>1732</v>
      </c>
      <c r="K11">
        <v>400</v>
      </c>
      <c r="L11">
        <v>2422</v>
      </c>
      <c r="O11" s="70">
        <v>90808</v>
      </c>
    </row>
    <row r="12" spans="1:15" x14ac:dyDescent="0.3">
      <c r="A12" s="12" t="s">
        <v>190</v>
      </c>
      <c r="B12">
        <v>674</v>
      </c>
      <c r="C12">
        <v>195</v>
      </c>
      <c r="D12">
        <v>869</v>
      </c>
      <c r="E12">
        <v>1837</v>
      </c>
      <c r="F12">
        <v>632</v>
      </c>
      <c r="G12">
        <v>404</v>
      </c>
      <c r="H12">
        <v>356</v>
      </c>
      <c r="I12">
        <v>518</v>
      </c>
      <c r="J12">
        <v>1057</v>
      </c>
      <c r="K12">
        <v>231</v>
      </c>
      <c r="L12">
        <v>1026</v>
      </c>
      <c r="O12" s="70">
        <v>90810</v>
      </c>
    </row>
    <row r="13" spans="1:15" x14ac:dyDescent="0.3">
      <c r="A13" s="12" t="s">
        <v>191</v>
      </c>
      <c r="B13">
        <v>385</v>
      </c>
      <c r="C13">
        <v>262</v>
      </c>
      <c r="D13">
        <v>1172</v>
      </c>
      <c r="E13">
        <v>1753</v>
      </c>
      <c r="F13">
        <v>680</v>
      </c>
      <c r="G13">
        <v>294</v>
      </c>
      <c r="H13">
        <v>268</v>
      </c>
      <c r="I13">
        <v>573</v>
      </c>
      <c r="J13">
        <v>981</v>
      </c>
      <c r="K13">
        <v>171</v>
      </c>
      <c r="L13">
        <v>660</v>
      </c>
      <c r="O13" s="70">
        <v>90813</v>
      </c>
    </row>
    <row r="14" spans="1:15" x14ac:dyDescent="0.3">
      <c r="A14" s="12" t="s">
        <v>192</v>
      </c>
      <c r="B14">
        <v>1868</v>
      </c>
      <c r="C14">
        <v>1269</v>
      </c>
      <c r="D14">
        <v>2850</v>
      </c>
      <c r="E14">
        <v>5247</v>
      </c>
      <c r="F14">
        <v>1896</v>
      </c>
      <c r="G14">
        <v>1181</v>
      </c>
      <c r="H14">
        <v>1498</v>
      </c>
      <c r="I14">
        <v>2084</v>
      </c>
      <c r="J14">
        <v>3411</v>
      </c>
      <c r="K14">
        <v>833</v>
      </c>
      <c r="L14">
        <v>2180</v>
      </c>
      <c r="O14" s="70">
        <v>90814</v>
      </c>
    </row>
    <row r="15" spans="1:15" x14ac:dyDescent="0.3">
      <c r="A15" s="12" t="s">
        <v>193</v>
      </c>
      <c r="B15">
        <v>4945</v>
      </c>
      <c r="C15">
        <v>3522</v>
      </c>
      <c r="D15">
        <v>4741</v>
      </c>
      <c r="E15">
        <v>7430</v>
      </c>
      <c r="F15">
        <v>3196</v>
      </c>
      <c r="G15">
        <v>2462</v>
      </c>
      <c r="H15">
        <v>1814</v>
      </c>
      <c r="I15">
        <v>2925</v>
      </c>
      <c r="J15">
        <v>5304</v>
      </c>
      <c r="K15">
        <v>1926</v>
      </c>
      <c r="L15">
        <v>2208</v>
      </c>
      <c r="O15" s="70">
        <v>90815</v>
      </c>
    </row>
    <row r="16" spans="1:15" x14ac:dyDescent="0.3">
      <c r="A16" s="12" t="s">
        <v>194</v>
      </c>
      <c r="B16">
        <v>4476</v>
      </c>
      <c r="C16">
        <v>2819</v>
      </c>
      <c r="D16">
        <v>3254</v>
      </c>
      <c r="E16">
        <v>7361</v>
      </c>
      <c r="F16">
        <v>2836</v>
      </c>
      <c r="G16">
        <v>2521</v>
      </c>
      <c r="H16">
        <v>2023</v>
      </c>
      <c r="I16">
        <v>2465</v>
      </c>
      <c r="J16">
        <v>5087</v>
      </c>
      <c r="K16">
        <v>1992</v>
      </c>
      <c r="L16">
        <v>2241</v>
      </c>
    </row>
    <row r="17" spans="1:12" x14ac:dyDescent="0.3">
      <c r="A17" s="12" t="s">
        <v>195</v>
      </c>
      <c r="B17">
        <v>3047</v>
      </c>
      <c r="C17">
        <v>1950</v>
      </c>
      <c r="D17">
        <v>3211</v>
      </c>
      <c r="E17">
        <v>6641</v>
      </c>
      <c r="F17">
        <v>3012</v>
      </c>
      <c r="G17">
        <v>2142</v>
      </c>
      <c r="H17">
        <v>2417</v>
      </c>
      <c r="I17">
        <v>2347</v>
      </c>
      <c r="J17">
        <v>4385</v>
      </c>
      <c r="K17">
        <v>1648</v>
      </c>
      <c r="L17">
        <v>2474</v>
      </c>
    </row>
    <row r="18" spans="1:12" x14ac:dyDescent="0.3">
      <c r="A18" s="12" t="s">
        <v>196</v>
      </c>
      <c r="B18">
        <v>3490</v>
      </c>
      <c r="C18">
        <v>2326</v>
      </c>
      <c r="D18">
        <v>2705</v>
      </c>
      <c r="E18">
        <v>6012</v>
      </c>
      <c r="F18">
        <v>2911</v>
      </c>
      <c r="G18">
        <v>2320</v>
      </c>
      <c r="H18">
        <v>3389</v>
      </c>
      <c r="I18">
        <v>2511</v>
      </c>
      <c r="J18">
        <v>3941</v>
      </c>
      <c r="K18">
        <v>1711</v>
      </c>
      <c r="L18">
        <v>2486</v>
      </c>
    </row>
    <row r="19" spans="1:12" x14ac:dyDescent="0.3">
      <c r="A19" s="12" t="s">
        <v>197</v>
      </c>
      <c r="B19">
        <v>3003</v>
      </c>
      <c r="C19">
        <v>2291</v>
      </c>
      <c r="D19">
        <v>2687</v>
      </c>
      <c r="E19">
        <v>7020</v>
      </c>
      <c r="F19">
        <v>3376</v>
      </c>
      <c r="G19">
        <v>2373</v>
      </c>
      <c r="H19">
        <v>2984</v>
      </c>
      <c r="I19">
        <v>2136</v>
      </c>
      <c r="J19">
        <v>3388</v>
      </c>
      <c r="K19">
        <v>1125</v>
      </c>
      <c r="L19">
        <v>2880</v>
      </c>
    </row>
    <row r="20" spans="1:12" x14ac:dyDescent="0.3">
      <c r="A20" s="12" t="s">
        <v>198</v>
      </c>
      <c r="B20">
        <v>2729</v>
      </c>
      <c r="C20">
        <v>2699</v>
      </c>
      <c r="D20">
        <v>2783</v>
      </c>
      <c r="E20">
        <v>5523</v>
      </c>
      <c r="F20">
        <v>2874</v>
      </c>
      <c r="G20">
        <v>2524</v>
      </c>
      <c r="H20">
        <v>3481</v>
      </c>
      <c r="I20">
        <v>2329</v>
      </c>
      <c r="J20">
        <v>2993</v>
      </c>
      <c r="K20">
        <v>1516</v>
      </c>
      <c r="L20">
        <v>2821</v>
      </c>
    </row>
    <row r="21" spans="1:12" x14ac:dyDescent="0.3">
      <c r="A21" s="12" t="s">
        <v>199</v>
      </c>
      <c r="B21">
        <v>2532</v>
      </c>
      <c r="C21">
        <v>2374</v>
      </c>
      <c r="D21">
        <v>2012</v>
      </c>
      <c r="E21">
        <v>4631</v>
      </c>
      <c r="F21">
        <v>1927</v>
      </c>
      <c r="G21">
        <v>2685</v>
      </c>
      <c r="H21">
        <v>2913</v>
      </c>
      <c r="I21">
        <v>1934</v>
      </c>
      <c r="J21">
        <v>2577</v>
      </c>
      <c r="K21">
        <v>1069</v>
      </c>
      <c r="L21">
        <v>2927</v>
      </c>
    </row>
    <row r="22" spans="1:12" x14ac:dyDescent="0.3">
      <c r="A22" s="12" t="s">
        <v>200</v>
      </c>
      <c r="B22">
        <v>962</v>
      </c>
      <c r="C22">
        <v>751</v>
      </c>
      <c r="D22">
        <v>692</v>
      </c>
      <c r="E22">
        <v>1704</v>
      </c>
      <c r="F22">
        <v>833</v>
      </c>
      <c r="G22">
        <v>907</v>
      </c>
      <c r="H22">
        <v>1111</v>
      </c>
      <c r="I22">
        <v>863</v>
      </c>
      <c r="J22">
        <v>804</v>
      </c>
      <c r="K22">
        <v>436</v>
      </c>
      <c r="L22">
        <v>1066</v>
      </c>
    </row>
    <row r="23" spans="1:12" x14ac:dyDescent="0.3">
      <c r="A23" s="12" t="s">
        <v>201</v>
      </c>
      <c r="B23">
        <v>1292</v>
      </c>
      <c r="C23">
        <v>1280</v>
      </c>
      <c r="D23">
        <v>805</v>
      </c>
      <c r="E23">
        <v>2382</v>
      </c>
      <c r="F23">
        <v>1061</v>
      </c>
      <c r="G23">
        <v>875</v>
      </c>
      <c r="H23">
        <v>1340</v>
      </c>
      <c r="I23">
        <v>1341</v>
      </c>
      <c r="J23">
        <v>1181</v>
      </c>
      <c r="K23">
        <v>653</v>
      </c>
      <c r="L23">
        <v>1236</v>
      </c>
    </row>
    <row r="24" spans="1:12" x14ac:dyDescent="0.3">
      <c r="A24" s="12" t="s">
        <v>202</v>
      </c>
      <c r="B24">
        <v>581</v>
      </c>
      <c r="C24">
        <v>1155</v>
      </c>
      <c r="D24">
        <v>510</v>
      </c>
      <c r="E24">
        <v>1417</v>
      </c>
      <c r="F24">
        <v>552</v>
      </c>
      <c r="G24">
        <v>798</v>
      </c>
      <c r="H24">
        <v>836</v>
      </c>
      <c r="I24">
        <v>673</v>
      </c>
      <c r="J24">
        <v>803</v>
      </c>
      <c r="K24">
        <v>333</v>
      </c>
      <c r="L24">
        <v>772</v>
      </c>
    </row>
    <row r="25" spans="1:12" x14ac:dyDescent="0.3">
      <c r="A25" s="12" t="s">
        <v>203</v>
      </c>
      <c r="B25">
        <v>749</v>
      </c>
      <c r="C25">
        <v>1295</v>
      </c>
      <c r="D25">
        <v>514</v>
      </c>
      <c r="E25">
        <v>1534</v>
      </c>
      <c r="F25">
        <v>732</v>
      </c>
      <c r="G25">
        <v>910</v>
      </c>
      <c r="H25">
        <v>1136</v>
      </c>
      <c r="I25">
        <v>720</v>
      </c>
      <c r="J25">
        <v>851</v>
      </c>
      <c r="K25">
        <v>548</v>
      </c>
      <c r="L25">
        <v>1059</v>
      </c>
    </row>
    <row r="26" spans="1:12" x14ac:dyDescent="0.3">
      <c r="A26" s="12" t="s">
        <v>204</v>
      </c>
      <c r="B26">
        <v>826</v>
      </c>
      <c r="C26">
        <v>1470</v>
      </c>
      <c r="D26">
        <v>566</v>
      </c>
      <c r="E26">
        <v>1879</v>
      </c>
      <c r="F26">
        <v>996</v>
      </c>
      <c r="G26">
        <v>961</v>
      </c>
      <c r="H26">
        <v>1253</v>
      </c>
      <c r="I26">
        <v>1075</v>
      </c>
      <c r="J26">
        <v>804</v>
      </c>
      <c r="K26">
        <v>462</v>
      </c>
      <c r="L26">
        <v>1401</v>
      </c>
    </row>
    <row r="27" spans="1:12" x14ac:dyDescent="0.3">
      <c r="A27" s="12" t="s">
        <v>205</v>
      </c>
      <c r="B27">
        <v>547</v>
      </c>
      <c r="C27">
        <v>803</v>
      </c>
      <c r="D27">
        <v>484</v>
      </c>
      <c r="E27">
        <v>853</v>
      </c>
      <c r="F27">
        <v>691</v>
      </c>
      <c r="G27">
        <v>779</v>
      </c>
      <c r="H27">
        <v>805</v>
      </c>
      <c r="I27">
        <v>532</v>
      </c>
      <c r="J27">
        <v>766</v>
      </c>
      <c r="K27">
        <v>256</v>
      </c>
      <c r="L27">
        <v>911</v>
      </c>
    </row>
    <row r="28" spans="1:12" x14ac:dyDescent="0.3">
      <c r="A28" s="12" t="s">
        <v>206</v>
      </c>
      <c r="B28">
        <v>447</v>
      </c>
      <c r="C28">
        <v>531</v>
      </c>
      <c r="D28">
        <v>148</v>
      </c>
      <c r="E28">
        <v>682</v>
      </c>
      <c r="F28">
        <v>781</v>
      </c>
      <c r="G28">
        <v>541</v>
      </c>
      <c r="H28">
        <v>1037</v>
      </c>
      <c r="I28">
        <v>601</v>
      </c>
      <c r="J28">
        <v>371</v>
      </c>
      <c r="K28">
        <v>257</v>
      </c>
      <c r="L28">
        <v>720</v>
      </c>
    </row>
    <row r="29" spans="1:12" x14ac:dyDescent="0.3">
      <c r="A29" s="12" t="s">
        <v>207</v>
      </c>
      <c r="B29">
        <v>398</v>
      </c>
      <c r="C29">
        <v>649</v>
      </c>
      <c r="D29">
        <v>281</v>
      </c>
      <c r="E29">
        <v>668</v>
      </c>
      <c r="F29">
        <v>367</v>
      </c>
      <c r="G29">
        <v>753</v>
      </c>
      <c r="H29">
        <v>990</v>
      </c>
      <c r="I29">
        <v>471</v>
      </c>
      <c r="J29">
        <v>371</v>
      </c>
      <c r="K29">
        <v>289</v>
      </c>
      <c r="L29">
        <v>1000</v>
      </c>
    </row>
    <row r="31" spans="1:12" x14ac:dyDescent="0.3">
      <c r="A31" s="143" t="s">
        <v>47</v>
      </c>
      <c r="B31" s="36" t="s">
        <v>208</v>
      </c>
      <c r="C31" s="36" t="s">
        <v>209</v>
      </c>
      <c r="D31" s="36" t="s">
        <v>210</v>
      </c>
      <c r="E31" s="36" t="s">
        <v>211</v>
      </c>
      <c r="F31" s="36" t="s">
        <v>212</v>
      </c>
      <c r="G31" s="36" t="s">
        <v>213</v>
      </c>
      <c r="H31" s="36" t="s">
        <v>214</v>
      </c>
      <c r="I31" s="36" t="s">
        <v>215</v>
      </c>
      <c r="J31" s="36" t="s">
        <v>216</v>
      </c>
      <c r="K31" s="36" t="s">
        <v>217</v>
      </c>
      <c r="L31" s="36" t="s">
        <v>218</v>
      </c>
    </row>
    <row r="32" spans="1:12" x14ac:dyDescent="0.3">
      <c r="A32" s="12" t="s">
        <v>49</v>
      </c>
      <c r="B32">
        <f>SUM(B7)</f>
        <v>2192</v>
      </c>
      <c r="C32">
        <f t="shared" ref="C32:L32" si="0">SUM(C7)</f>
        <v>760</v>
      </c>
      <c r="D32">
        <f t="shared" si="0"/>
        <v>2916</v>
      </c>
      <c r="E32">
        <f t="shared" si="0"/>
        <v>8176</v>
      </c>
      <c r="F32">
        <f t="shared" si="0"/>
        <v>3215</v>
      </c>
      <c r="G32">
        <f t="shared" si="0"/>
        <v>2515</v>
      </c>
      <c r="H32">
        <f t="shared" si="0"/>
        <v>2045</v>
      </c>
      <c r="I32">
        <f t="shared" si="0"/>
        <v>2784</v>
      </c>
      <c r="J32">
        <f t="shared" si="0"/>
        <v>6360</v>
      </c>
      <c r="K32">
        <f t="shared" si="0"/>
        <v>841</v>
      </c>
      <c r="L32">
        <f t="shared" si="0"/>
        <v>2269</v>
      </c>
    </row>
    <row r="33" spans="1:12" x14ac:dyDescent="0.3">
      <c r="A33" s="12" t="s">
        <v>51</v>
      </c>
      <c r="B33">
        <f>SUM(B8:B9)</f>
        <v>3012</v>
      </c>
      <c r="C33">
        <f t="shared" ref="C33:L33" si="1">SUM(C8:C9)</f>
        <v>2265</v>
      </c>
      <c r="D33">
        <f t="shared" si="1"/>
        <v>4706</v>
      </c>
      <c r="E33">
        <f t="shared" si="1"/>
        <v>15231</v>
      </c>
      <c r="F33">
        <f t="shared" si="1"/>
        <v>6302</v>
      </c>
      <c r="G33">
        <f t="shared" si="1"/>
        <v>3529</v>
      </c>
      <c r="H33">
        <f t="shared" si="1"/>
        <v>4476</v>
      </c>
      <c r="I33">
        <f t="shared" si="1"/>
        <v>5320</v>
      </c>
      <c r="J33">
        <f t="shared" si="1"/>
        <v>10544</v>
      </c>
      <c r="K33">
        <f t="shared" si="1"/>
        <v>1580</v>
      </c>
      <c r="L33">
        <f t="shared" si="1"/>
        <v>3741</v>
      </c>
    </row>
    <row r="34" spans="1:12" x14ac:dyDescent="0.3">
      <c r="A34" s="12" t="s">
        <v>53</v>
      </c>
      <c r="B34">
        <f>SUM(B10:B14)</f>
        <v>4645</v>
      </c>
      <c r="C34">
        <f t="shared" ref="C34:L34" si="2">SUM(C10:C14)</f>
        <v>2740</v>
      </c>
      <c r="D34">
        <f t="shared" si="2"/>
        <v>7736</v>
      </c>
      <c r="E34">
        <f t="shared" si="2"/>
        <v>16664</v>
      </c>
      <c r="F34">
        <f t="shared" si="2"/>
        <v>6650</v>
      </c>
      <c r="G34">
        <f t="shared" si="2"/>
        <v>3622</v>
      </c>
      <c r="H34">
        <f t="shared" si="2"/>
        <v>4587</v>
      </c>
      <c r="I34">
        <f t="shared" si="2"/>
        <v>6395</v>
      </c>
      <c r="J34">
        <f t="shared" si="2"/>
        <v>10467</v>
      </c>
      <c r="K34">
        <f t="shared" si="2"/>
        <v>2118</v>
      </c>
      <c r="L34">
        <f t="shared" si="2"/>
        <v>7610</v>
      </c>
    </row>
    <row r="35" spans="1:12" x14ac:dyDescent="0.3">
      <c r="A35" s="12" t="s">
        <v>54</v>
      </c>
      <c r="B35">
        <f>SUM(B15:B18)</f>
        <v>15958</v>
      </c>
      <c r="C35">
        <f t="shared" ref="C35:L35" si="3">SUM(C15:C18)</f>
        <v>10617</v>
      </c>
      <c r="D35">
        <f t="shared" si="3"/>
        <v>13911</v>
      </c>
      <c r="E35">
        <f t="shared" si="3"/>
        <v>27444</v>
      </c>
      <c r="F35">
        <f t="shared" si="3"/>
        <v>11955</v>
      </c>
      <c r="G35">
        <f t="shared" si="3"/>
        <v>9445</v>
      </c>
      <c r="H35">
        <f t="shared" si="3"/>
        <v>9643</v>
      </c>
      <c r="I35">
        <f t="shared" si="3"/>
        <v>10248</v>
      </c>
      <c r="J35">
        <f t="shared" si="3"/>
        <v>18717</v>
      </c>
      <c r="K35">
        <f t="shared" si="3"/>
        <v>7277</v>
      </c>
      <c r="L35">
        <f t="shared" si="3"/>
        <v>9409</v>
      </c>
    </row>
    <row r="36" spans="1:12" x14ac:dyDescent="0.3">
      <c r="A36" s="12" t="s">
        <v>55</v>
      </c>
      <c r="B36">
        <f>SUM(B19:B23)</f>
        <v>10518</v>
      </c>
      <c r="C36">
        <f t="shared" ref="C36:L36" si="4">SUM(C19:C23)</f>
        <v>9395</v>
      </c>
      <c r="D36">
        <f t="shared" si="4"/>
        <v>8979</v>
      </c>
      <c r="E36">
        <f t="shared" si="4"/>
        <v>21260</v>
      </c>
      <c r="F36">
        <f t="shared" si="4"/>
        <v>10071</v>
      </c>
      <c r="G36">
        <f t="shared" si="4"/>
        <v>9364</v>
      </c>
      <c r="H36">
        <f t="shared" si="4"/>
        <v>11829</v>
      </c>
      <c r="I36">
        <f t="shared" si="4"/>
        <v>8603</v>
      </c>
      <c r="J36">
        <f t="shared" si="4"/>
        <v>10943</v>
      </c>
      <c r="K36">
        <f t="shared" si="4"/>
        <v>4799</v>
      </c>
      <c r="L36">
        <f t="shared" si="4"/>
        <v>10930</v>
      </c>
    </row>
    <row r="37" spans="1:12" x14ac:dyDescent="0.3">
      <c r="A37" s="12" t="s">
        <v>56</v>
      </c>
      <c r="B37">
        <f>SUM(B24:B26)</f>
        <v>2156</v>
      </c>
      <c r="C37">
        <f t="shared" ref="C37:L37" si="5">SUM(C24:C26)</f>
        <v>3920</v>
      </c>
      <c r="D37">
        <f t="shared" si="5"/>
        <v>1590</v>
      </c>
      <c r="E37">
        <f t="shared" si="5"/>
        <v>4830</v>
      </c>
      <c r="F37">
        <f t="shared" si="5"/>
        <v>2280</v>
      </c>
      <c r="G37">
        <f t="shared" si="5"/>
        <v>2669</v>
      </c>
      <c r="H37">
        <f t="shared" si="5"/>
        <v>3225</v>
      </c>
      <c r="I37">
        <f t="shared" si="5"/>
        <v>2468</v>
      </c>
      <c r="J37">
        <f t="shared" si="5"/>
        <v>2458</v>
      </c>
      <c r="K37">
        <f t="shared" si="5"/>
        <v>1343</v>
      </c>
      <c r="L37">
        <f t="shared" si="5"/>
        <v>3232</v>
      </c>
    </row>
    <row r="38" spans="1:12" x14ac:dyDescent="0.3">
      <c r="A38" s="12" t="s">
        <v>57</v>
      </c>
      <c r="B38">
        <f>SUM(B27:B29)</f>
        <v>1392</v>
      </c>
      <c r="C38">
        <f t="shared" ref="C38:L38" si="6">SUM(C27:C29)</f>
        <v>1983</v>
      </c>
      <c r="D38">
        <f t="shared" si="6"/>
        <v>913</v>
      </c>
      <c r="E38">
        <f t="shared" si="6"/>
        <v>2203</v>
      </c>
      <c r="F38">
        <f t="shared" si="6"/>
        <v>1839</v>
      </c>
      <c r="G38">
        <f t="shared" si="6"/>
        <v>2073</v>
      </c>
      <c r="H38">
        <f t="shared" si="6"/>
        <v>2832</v>
      </c>
      <c r="I38">
        <f t="shared" si="6"/>
        <v>1604</v>
      </c>
      <c r="J38">
        <f t="shared" si="6"/>
        <v>1508</v>
      </c>
      <c r="K38">
        <f t="shared" si="6"/>
        <v>802</v>
      </c>
      <c r="L38">
        <f t="shared" si="6"/>
        <v>2631</v>
      </c>
    </row>
    <row r="39" spans="1:12" x14ac:dyDescent="0.3">
      <c r="A39" s="143" t="s">
        <v>83</v>
      </c>
      <c r="B39" s="36">
        <f>SUM(B32:B38)</f>
        <v>39873</v>
      </c>
      <c r="C39" s="36">
        <f t="shared" ref="C39:L39" si="7">SUM(C32:C38)</f>
        <v>31680</v>
      </c>
      <c r="D39" s="36">
        <f t="shared" si="7"/>
        <v>40751</v>
      </c>
      <c r="E39" s="36">
        <f t="shared" si="7"/>
        <v>95808</v>
      </c>
      <c r="F39" s="36">
        <f t="shared" si="7"/>
        <v>42312</v>
      </c>
      <c r="G39" s="36">
        <f t="shared" si="7"/>
        <v>33217</v>
      </c>
      <c r="H39" s="36">
        <f t="shared" si="7"/>
        <v>38637</v>
      </c>
      <c r="I39" s="36">
        <f t="shared" si="7"/>
        <v>37422</v>
      </c>
      <c r="J39" s="36">
        <f t="shared" si="7"/>
        <v>60997</v>
      </c>
      <c r="K39" s="36">
        <f t="shared" si="7"/>
        <v>18760</v>
      </c>
      <c r="L39" s="36">
        <f t="shared" si="7"/>
        <v>39822</v>
      </c>
    </row>
    <row r="41" spans="1:12" x14ac:dyDescent="0.3">
      <c r="A41" s="149" t="s">
        <v>219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spans="1:12" x14ac:dyDescent="0.3">
      <c r="A42" s="150"/>
      <c r="B42" s="70">
        <v>90802</v>
      </c>
      <c r="C42" s="70">
        <v>90803</v>
      </c>
      <c r="D42" s="70">
        <v>90804</v>
      </c>
      <c r="E42" s="70">
        <v>90805</v>
      </c>
      <c r="F42" s="70">
        <v>90806</v>
      </c>
      <c r="G42" s="70">
        <v>90807</v>
      </c>
      <c r="H42" s="70">
        <v>90808</v>
      </c>
      <c r="I42" s="70">
        <v>90810</v>
      </c>
      <c r="J42" s="70">
        <v>90813</v>
      </c>
      <c r="K42" s="70">
        <v>90814</v>
      </c>
      <c r="L42" s="70">
        <v>90815</v>
      </c>
    </row>
    <row r="43" spans="1:12" x14ac:dyDescent="0.3">
      <c r="A43" s="150" t="s">
        <v>83</v>
      </c>
      <c r="B43" s="80">
        <v>40226</v>
      </c>
      <c r="C43" s="80">
        <v>32116</v>
      </c>
      <c r="D43" s="80">
        <v>40225</v>
      </c>
      <c r="E43" s="80">
        <v>96069</v>
      </c>
      <c r="F43" s="80">
        <v>42587</v>
      </c>
      <c r="G43" s="80">
        <v>32395</v>
      </c>
      <c r="H43" s="80">
        <v>38487</v>
      </c>
      <c r="I43" s="80">
        <v>38769</v>
      </c>
      <c r="J43" s="80">
        <v>60935</v>
      </c>
      <c r="K43" s="80">
        <v>18175</v>
      </c>
      <c r="L43" s="80">
        <v>40359</v>
      </c>
    </row>
    <row r="44" spans="1:12" x14ac:dyDescent="0.3">
      <c r="A44" s="12" t="s">
        <v>185</v>
      </c>
      <c r="B44" s="36">
        <v>2247</v>
      </c>
      <c r="C44" s="36">
        <v>846</v>
      </c>
      <c r="D44" s="36">
        <v>2611</v>
      </c>
      <c r="E44" s="36">
        <v>8335</v>
      </c>
      <c r="F44" s="36">
        <v>3395</v>
      </c>
      <c r="G44" s="36">
        <v>2299</v>
      </c>
      <c r="H44" s="36">
        <v>2118</v>
      </c>
      <c r="I44" s="36">
        <v>2655</v>
      </c>
      <c r="J44" s="36">
        <v>6177</v>
      </c>
      <c r="K44" s="36">
        <v>794</v>
      </c>
      <c r="L44" s="36">
        <v>2075</v>
      </c>
    </row>
    <row r="45" spans="1:12" x14ac:dyDescent="0.3">
      <c r="A45" s="12" t="s">
        <v>186</v>
      </c>
      <c r="B45" s="36">
        <v>1328</v>
      </c>
      <c r="C45" s="36">
        <v>1051</v>
      </c>
      <c r="D45" s="36">
        <v>2621</v>
      </c>
      <c r="E45" s="36">
        <v>8035</v>
      </c>
      <c r="F45" s="36">
        <v>3182</v>
      </c>
      <c r="G45" s="36">
        <v>1735</v>
      </c>
      <c r="H45" s="36">
        <v>2287</v>
      </c>
      <c r="I45" s="36">
        <v>2705</v>
      </c>
      <c r="J45" s="36">
        <v>5077</v>
      </c>
      <c r="K45" s="36">
        <v>752</v>
      </c>
      <c r="L45" s="36">
        <v>1838</v>
      </c>
    </row>
    <row r="46" spans="1:12" x14ac:dyDescent="0.3">
      <c r="A46" s="12" t="s">
        <v>187</v>
      </c>
      <c r="B46" s="36">
        <v>1636</v>
      </c>
      <c r="C46" s="36">
        <v>1116</v>
      </c>
      <c r="D46" s="36">
        <v>2089</v>
      </c>
      <c r="E46" s="36">
        <v>7084</v>
      </c>
      <c r="F46" s="36">
        <v>2977</v>
      </c>
      <c r="G46" s="36">
        <v>1825</v>
      </c>
      <c r="H46" s="36">
        <v>2193</v>
      </c>
      <c r="I46" s="36">
        <v>2751</v>
      </c>
      <c r="J46" s="36">
        <v>4960</v>
      </c>
      <c r="K46" s="36">
        <v>752</v>
      </c>
      <c r="L46" s="36">
        <v>2393</v>
      </c>
    </row>
    <row r="47" spans="1:12" x14ac:dyDescent="0.3">
      <c r="A47" s="12" t="s">
        <v>188</v>
      </c>
      <c r="B47" s="36">
        <v>959</v>
      </c>
      <c r="C47" s="36">
        <v>745</v>
      </c>
      <c r="D47" s="36">
        <v>1626</v>
      </c>
      <c r="E47" s="36">
        <v>5116</v>
      </c>
      <c r="F47" s="36">
        <v>1891</v>
      </c>
      <c r="G47" s="36">
        <v>1126</v>
      </c>
      <c r="H47" s="36">
        <v>1432</v>
      </c>
      <c r="I47" s="36">
        <v>1916</v>
      </c>
      <c r="J47" s="36">
        <v>3157</v>
      </c>
      <c r="K47" s="36">
        <v>460</v>
      </c>
      <c r="L47" s="36">
        <v>1432</v>
      </c>
    </row>
    <row r="48" spans="1:12" x14ac:dyDescent="0.3">
      <c r="A48" s="12" t="s">
        <v>189</v>
      </c>
      <c r="B48" s="36">
        <v>627</v>
      </c>
      <c r="C48" s="36">
        <v>305</v>
      </c>
      <c r="D48" s="36">
        <v>1135</v>
      </c>
      <c r="E48" s="36">
        <v>2386</v>
      </c>
      <c r="F48" s="36">
        <v>1228</v>
      </c>
      <c r="G48" s="36">
        <v>438</v>
      </c>
      <c r="H48" s="36">
        <v>766</v>
      </c>
      <c r="I48" s="36">
        <v>1518</v>
      </c>
      <c r="J48" s="36">
        <v>1738</v>
      </c>
      <c r="K48" s="36">
        <v>314</v>
      </c>
      <c r="L48" s="36">
        <v>2315</v>
      </c>
    </row>
    <row r="49" spans="1:12" x14ac:dyDescent="0.3">
      <c r="A49" s="12" t="s">
        <v>190</v>
      </c>
      <c r="B49" s="36">
        <v>609</v>
      </c>
      <c r="C49" s="36">
        <v>302</v>
      </c>
      <c r="D49" s="36">
        <v>753</v>
      </c>
      <c r="E49" s="36">
        <v>1772</v>
      </c>
      <c r="F49" s="36">
        <v>690</v>
      </c>
      <c r="G49" s="36">
        <v>336</v>
      </c>
      <c r="H49" s="36">
        <v>368</v>
      </c>
      <c r="I49" s="36">
        <v>516</v>
      </c>
      <c r="J49" s="36">
        <v>1186</v>
      </c>
      <c r="K49" s="36">
        <v>236</v>
      </c>
      <c r="L49" s="36">
        <v>1156</v>
      </c>
    </row>
    <row r="50" spans="1:12" x14ac:dyDescent="0.3">
      <c r="A50" s="12" t="s">
        <v>191</v>
      </c>
      <c r="B50" s="36">
        <v>310</v>
      </c>
      <c r="C50" s="36">
        <v>307</v>
      </c>
      <c r="D50" s="36">
        <v>1230</v>
      </c>
      <c r="E50" s="36">
        <v>1814</v>
      </c>
      <c r="F50" s="36">
        <v>637</v>
      </c>
      <c r="G50" s="36">
        <v>178</v>
      </c>
      <c r="H50" s="36">
        <v>282</v>
      </c>
      <c r="I50" s="36">
        <v>663</v>
      </c>
      <c r="J50" s="36">
        <v>1006</v>
      </c>
      <c r="K50" s="36">
        <v>123</v>
      </c>
      <c r="L50" s="36">
        <v>752</v>
      </c>
    </row>
    <row r="51" spans="1:12" x14ac:dyDescent="0.3">
      <c r="A51" s="12" t="s">
        <v>192</v>
      </c>
      <c r="B51" s="36">
        <v>1509</v>
      </c>
      <c r="C51" s="36">
        <v>1197</v>
      </c>
      <c r="D51" s="36">
        <v>2465</v>
      </c>
      <c r="E51" s="36">
        <v>4807</v>
      </c>
      <c r="F51" s="36">
        <v>1918</v>
      </c>
      <c r="G51" s="36">
        <v>1089</v>
      </c>
      <c r="H51" s="36">
        <v>1565</v>
      </c>
      <c r="I51" s="36">
        <v>1983</v>
      </c>
      <c r="J51" s="36">
        <v>3476</v>
      </c>
      <c r="K51" s="36">
        <v>789</v>
      </c>
      <c r="L51" s="36">
        <v>2183</v>
      </c>
    </row>
    <row r="52" spans="1:12" x14ac:dyDescent="0.3">
      <c r="A52" s="12" t="s">
        <v>193</v>
      </c>
      <c r="B52" s="36">
        <v>5505</v>
      </c>
      <c r="C52" s="36">
        <v>3198</v>
      </c>
      <c r="D52" s="36">
        <v>4804</v>
      </c>
      <c r="E52" s="36">
        <v>7727</v>
      </c>
      <c r="F52" s="36">
        <v>3396</v>
      </c>
      <c r="G52" s="36">
        <v>2298</v>
      </c>
      <c r="H52" s="36">
        <v>2093</v>
      </c>
      <c r="I52" s="36">
        <v>3067</v>
      </c>
      <c r="J52" s="36">
        <v>5418</v>
      </c>
      <c r="K52" s="36">
        <v>1904</v>
      </c>
      <c r="L52" s="36">
        <v>2349</v>
      </c>
    </row>
    <row r="53" spans="1:12" x14ac:dyDescent="0.3">
      <c r="A53" s="12" t="s">
        <v>194</v>
      </c>
      <c r="B53" s="36">
        <v>4685</v>
      </c>
      <c r="C53" s="36">
        <v>3090</v>
      </c>
      <c r="D53" s="36">
        <v>3368</v>
      </c>
      <c r="E53" s="36">
        <v>7845</v>
      </c>
      <c r="F53" s="36">
        <v>3104</v>
      </c>
      <c r="G53" s="36">
        <v>2743</v>
      </c>
      <c r="H53" s="36">
        <v>1740</v>
      </c>
      <c r="I53" s="36">
        <v>2624</v>
      </c>
      <c r="J53" s="36">
        <v>5242</v>
      </c>
      <c r="K53" s="36">
        <v>2009</v>
      </c>
      <c r="L53" s="36">
        <v>2271</v>
      </c>
    </row>
    <row r="54" spans="1:12" x14ac:dyDescent="0.3">
      <c r="A54" s="12" t="s">
        <v>195</v>
      </c>
      <c r="B54" s="36">
        <v>3017</v>
      </c>
      <c r="C54" s="36">
        <v>2115</v>
      </c>
      <c r="D54" s="36">
        <v>3178</v>
      </c>
      <c r="E54" s="36">
        <v>6476</v>
      </c>
      <c r="F54" s="36">
        <v>3150</v>
      </c>
      <c r="G54" s="36">
        <v>2074</v>
      </c>
      <c r="H54" s="36">
        <v>2369</v>
      </c>
      <c r="I54" s="36">
        <v>2633</v>
      </c>
      <c r="J54" s="36">
        <v>4125</v>
      </c>
      <c r="K54" s="36">
        <v>1356</v>
      </c>
      <c r="L54" s="36">
        <v>2264</v>
      </c>
    </row>
    <row r="55" spans="1:12" x14ac:dyDescent="0.3">
      <c r="A55" s="12" t="s">
        <v>196</v>
      </c>
      <c r="B55" s="36">
        <v>3594</v>
      </c>
      <c r="C55" s="36">
        <v>2249</v>
      </c>
      <c r="D55" s="36">
        <v>2561</v>
      </c>
      <c r="E55" s="36">
        <v>6127</v>
      </c>
      <c r="F55" s="36">
        <v>2883</v>
      </c>
      <c r="G55" s="36">
        <v>2314</v>
      </c>
      <c r="H55" s="36">
        <v>3396</v>
      </c>
      <c r="I55" s="36">
        <v>2574</v>
      </c>
      <c r="J55" s="36">
        <v>3744</v>
      </c>
      <c r="K55" s="36">
        <v>1623</v>
      </c>
      <c r="L55" s="36">
        <v>2595</v>
      </c>
    </row>
    <row r="56" spans="1:12" x14ac:dyDescent="0.3">
      <c r="A56" s="12" t="s">
        <v>197</v>
      </c>
      <c r="B56" s="36">
        <v>2793</v>
      </c>
      <c r="C56" s="36">
        <v>2386</v>
      </c>
      <c r="D56" s="36">
        <v>2738</v>
      </c>
      <c r="E56" s="36">
        <v>6660</v>
      </c>
      <c r="F56" s="36">
        <v>3076</v>
      </c>
      <c r="G56" s="36">
        <v>2258</v>
      </c>
      <c r="H56" s="36">
        <v>3000</v>
      </c>
      <c r="I56" s="36">
        <v>2194</v>
      </c>
      <c r="J56" s="36">
        <v>3289</v>
      </c>
      <c r="K56" s="36">
        <v>1030</v>
      </c>
      <c r="L56" s="36">
        <v>3121</v>
      </c>
    </row>
    <row r="57" spans="1:12" x14ac:dyDescent="0.3">
      <c r="A57" s="12" t="s">
        <v>198</v>
      </c>
      <c r="B57" s="36">
        <v>2878</v>
      </c>
      <c r="C57" s="36">
        <v>2598</v>
      </c>
      <c r="D57" s="36">
        <v>2651</v>
      </c>
      <c r="E57" s="36">
        <v>5347</v>
      </c>
      <c r="F57" s="36">
        <v>3027</v>
      </c>
      <c r="G57" s="36">
        <v>2294</v>
      </c>
      <c r="H57" s="36">
        <v>3341</v>
      </c>
      <c r="I57" s="36">
        <v>2588</v>
      </c>
      <c r="J57" s="36">
        <v>3167</v>
      </c>
      <c r="K57" s="36">
        <v>1619</v>
      </c>
      <c r="L57" s="36">
        <v>2647</v>
      </c>
    </row>
    <row r="58" spans="1:12" x14ac:dyDescent="0.3">
      <c r="A58" s="12" t="s">
        <v>199</v>
      </c>
      <c r="B58" s="36">
        <v>2517</v>
      </c>
      <c r="C58" s="36">
        <v>2519</v>
      </c>
      <c r="D58" s="36">
        <v>2097</v>
      </c>
      <c r="E58" s="36">
        <v>4419</v>
      </c>
      <c r="F58" s="36">
        <v>1834</v>
      </c>
      <c r="G58" s="36">
        <v>2488</v>
      </c>
      <c r="H58" s="36">
        <v>2954</v>
      </c>
      <c r="I58" s="36">
        <v>1916</v>
      </c>
      <c r="J58" s="36">
        <v>2850</v>
      </c>
      <c r="K58" s="36">
        <v>1109</v>
      </c>
      <c r="L58" s="36">
        <v>2800</v>
      </c>
    </row>
    <row r="59" spans="1:12" x14ac:dyDescent="0.3">
      <c r="A59" s="12" t="s">
        <v>200</v>
      </c>
      <c r="B59" s="36">
        <v>870</v>
      </c>
      <c r="C59" s="36">
        <v>848</v>
      </c>
      <c r="D59" s="36">
        <v>692</v>
      </c>
      <c r="E59" s="36">
        <v>2047</v>
      </c>
      <c r="F59" s="36">
        <v>968</v>
      </c>
      <c r="G59" s="36">
        <v>1041</v>
      </c>
      <c r="H59" s="36">
        <v>1308</v>
      </c>
      <c r="I59" s="36">
        <v>890</v>
      </c>
      <c r="J59" s="36">
        <v>885</v>
      </c>
      <c r="K59" s="36">
        <v>342</v>
      </c>
      <c r="L59" s="36">
        <v>1082</v>
      </c>
    </row>
    <row r="60" spans="1:12" x14ac:dyDescent="0.3">
      <c r="A60" s="12" t="s">
        <v>201</v>
      </c>
      <c r="B60" s="36">
        <v>1325</v>
      </c>
      <c r="C60" s="36">
        <v>1129</v>
      </c>
      <c r="D60" s="36">
        <v>787</v>
      </c>
      <c r="E60" s="36">
        <v>2577</v>
      </c>
      <c r="F60" s="36">
        <v>1210</v>
      </c>
      <c r="G60" s="36">
        <v>1002</v>
      </c>
      <c r="H60" s="36">
        <v>1374</v>
      </c>
      <c r="I60" s="36">
        <v>1352</v>
      </c>
      <c r="J60" s="36">
        <v>1301</v>
      </c>
      <c r="K60" s="36">
        <v>660</v>
      </c>
      <c r="L60" s="36">
        <v>1218</v>
      </c>
    </row>
    <row r="61" spans="1:12" x14ac:dyDescent="0.3">
      <c r="A61" s="12" t="s">
        <v>202</v>
      </c>
      <c r="B61" s="36">
        <v>653</v>
      </c>
      <c r="C61" s="36">
        <v>1208</v>
      </c>
      <c r="D61" s="36">
        <v>474</v>
      </c>
      <c r="E61" s="36">
        <v>1440</v>
      </c>
      <c r="F61" s="36">
        <v>582</v>
      </c>
      <c r="G61" s="36">
        <v>822</v>
      </c>
      <c r="H61" s="36">
        <v>806</v>
      </c>
      <c r="I61" s="36">
        <v>733</v>
      </c>
      <c r="J61" s="36">
        <v>791</v>
      </c>
      <c r="K61" s="36">
        <v>261</v>
      </c>
      <c r="L61" s="36">
        <v>757</v>
      </c>
    </row>
    <row r="62" spans="1:12" x14ac:dyDescent="0.3">
      <c r="A62" s="12" t="s">
        <v>203</v>
      </c>
      <c r="B62" s="36">
        <v>822</v>
      </c>
      <c r="C62" s="36">
        <v>1259</v>
      </c>
      <c r="D62" s="36">
        <v>646</v>
      </c>
      <c r="E62" s="36">
        <v>1634</v>
      </c>
      <c r="F62" s="36">
        <v>820</v>
      </c>
      <c r="G62" s="36">
        <v>948</v>
      </c>
      <c r="H62" s="36">
        <v>1132</v>
      </c>
      <c r="I62" s="36">
        <v>874</v>
      </c>
      <c r="J62" s="36">
        <v>962</v>
      </c>
      <c r="K62" s="36">
        <v>618</v>
      </c>
      <c r="L62" s="36">
        <v>1097</v>
      </c>
    </row>
    <row r="63" spans="1:12" x14ac:dyDescent="0.3">
      <c r="A63" s="12" t="s">
        <v>204</v>
      </c>
      <c r="B63" s="36">
        <v>775</v>
      </c>
      <c r="C63" s="36">
        <v>1540</v>
      </c>
      <c r="D63" s="36">
        <v>753</v>
      </c>
      <c r="E63" s="36">
        <v>1975</v>
      </c>
      <c r="F63" s="36">
        <v>892</v>
      </c>
      <c r="G63" s="36">
        <v>1020</v>
      </c>
      <c r="H63" s="36">
        <v>1468</v>
      </c>
      <c r="I63" s="36">
        <v>1017</v>
      </c>
      <c r="J63" s="36">
        <v>968</v>
      </c>
      <c r="K63" s="36">
        <v>574</v>
      </c>
      <c r="L63" s="36">
        <v>1435</v>
      </c>
    </row>
    <row r="64" spans="1:12" x14ac:dyDescent="0.3">
      <c r="A64" s="12" t="s">
        <v>205</v>
      </c>
      <c r="B64" s="36">
        <v>628</v>
      </c>
      <c r="C64" s="36">
        <v>870</v>
      </c>
      <c r="D64" s="36">
        <v>493</v>
      </c>
      <c r="E64" s="36">
        <v>1000</v>
      </c>
      <c r="F64" s="36">
        <v>664</v>
      </c>
      <c r="G64" s="36">
        <v>802</v>
      </c>
      <c r="H64" s="36">
        <v>734</v>
      </c>
      <c r="I64" s="36">
        <v>467</v>
      </c>
      <c r="J64" s="36">
        <v>728</v>
      </c>
      <c r="K64" s="36">
        <v>258</v>
      </c>
      <c r="L64" s="36">
        <v>936</v>
      </c>
    </row>
    <row r="65" spans="1:12" x14ac:dyDescent="0.3">
      <c r="A65" s="12" t="s">
        <v>206</v>
      </c>
      <c r="B65" s="36">
        <v>506</v>
      </c>
      <c r="C65" s="36">
        <v>569</v>
      </c>
      <c r="D65" s="36">
        <v>189</v>
      </c>
      <c r="E65" s="36">
        <v>726</v>
      </c>
      <c r="F65" s="36">
        <v>623</v>
      </c>
      <c r="G65" s="36">
        <v>440</v>
      </c>
      <c r="H65" s="36">
        <v>844</v>
      </c>
      <c r="I65" s="36">
        <v>649</v>
      </c>
      <c r="J65" s="36">
        <v>305</v>
      </c>
      <c r="K65" s="36">
        <v>242</v>
      </c>
      <c r="L65" s="36">
        <v>603</v>
      </c>
    </row>
    <row r="66" spans="1:12" x14ac:dyDescent="0.3">
      <c r="A66" s="12" t="s">
        <v>207</v>
      </c>
      <c r="B66" s="36">
        <v>433</v>
      </c>
      <c r="C66" s="36">
        <v>669</v>
      </c>
      <c r="D66" s="36">
        <v>264</v>
      </c>
      <c r="E66" s="36">
        <v>720</v>
      </c>
      <c r="F66" s="36">
        <v>440</v>
      </c>
      <c r="G66" s="36">
        <v>825</v>
      </c>
      <c r="H66" s="36">
        <v>917</v>
      </c>
      <c r="I66" s="36">
        <v>484</v>
      </c>
      <c r="J66" s="36">
        <v>383</v>
      </c>
      <c r="K66" s="36">
        <v>350</v>
      </c>
      <c r="L66" s="36">
        <v>1040</v>
      </c>
    </row>
    <row r="68" spans="1:12" x14ac:dyDescent="0.3">
      <c r="A68" s="143" t="s">
        <v>47</v>
      </c>
      <c r="B68" s="36" t="s">
        <v>220</v>
      </c>
      <c r="C68" s="36" t="s">
        <v>221</v>
      </c>
      <c r="D68" s="36" t="s">
        <v>222</v>
      </c>
      <c r="E68" s="36" t="s">
        <v>223</v>
      </c>
      <c r="F68" s="36" t="s">
        <v>224</v>
      </c>
      <c r="G68" s="36" t="s">
        <v>225</v>
      </c>
      <c r="H68" s="36" t="s">
        <v>226</v>
      </c>
      <c r="I68" s="36" t="s">
        <v>227</v>
      </c>
      <c r="J68" s="36" t="s">
        <v>228</v>
      </c>
      <c r="K68" s="36" t="s">
        <v>229</v>
      </c>
      <c r="L68" s="36" t="s">
        <v>230</v>
      </c>
    </row>
    <row r="69" spans="1:12" x14ac:dyDescent="0.3">
      <c r="A69" s="12" t="s">
        <v>49</v>
      </c>
      <c r="B69">
        <f>SUM(B44)</f>
        <v>2247</v>
      </c>
      <c r="C69">
        <f t="shared" ref="C69:L69" si="8">SUM(C44)</f>
        <v>846</v>
      </c>
      <c r="D69">
        <f t="shared" si="8"/>
        <v>2611</v>
      </c>
      <c r="E69">
        <f t="shared" si="8"/>
        <v>8335</v>
      </c>
      <c r="F69">
        <f>SUM(F44)</f>
        <v>3395</v>
      </c>
      <c r="G69">
        <f t="shared" si="8"/>
        <v>2299</v>
      </c>
      <c r="H69">
        <f t="shared" si="8"/>
        <v>2118</v>
      </c>
      <c r="I69">
        <f t="shared" si="8"/>
        <v>2655</v>
      </c>
      <c r="J69">
        <f t="shared" si="8"/>
        <v>6177</v>
      </c>
      <c r="K69">
        <f t="shared" si="8"/>
        <v>794</v>
      </c>
      <c r="L69">
        <f t="shared" si="8"/>
        <v>2075</v>
      </c>
    </row>
    <row r="70" spans="1:12" x14ac:dyDescent="0.3">
      <c r="A70" s="12" t="s">
        <v>51</v>
      </c>
      <c r="B70">
        <f>SUM(B45:B46)</f>
        <v>2964</v>
      </c>
      <c r="C70">
        <f t="shared" ref="C70:L70" si="9">SUM(C45:C46)</f>
        <v>2167</v>
      </c>
      <c r="D70">
        <f t="shared" si="9"/>
        <v>4710</v>
      </c>
      <c r="E70">
        <f t="shared" si="9"/>
        <v>15119</v>
      </c>
      <c r="F70">
        <f t="shared" si="9"/>
        <v>6159</v>
      </c>
      <c r="G70">
        <f t="shared" si="9"/>
        <v>3560</v>
      </c>
      <c r="H70">
        <f t="shared" si="9"/>
        <v>4480</v>
      </c>
      <c r="I70">
        <f t="shared" si="9"/>
        <v>5456</v>
      </c>
      <c r="J70">
        <f t="shared" si="9"/>
        <v>10037</v>
      </c>
      <c r="K70">
        <f t="shared" si="9"/>
        <v>1504</v>
      </c>
      <c r="L70">
        <f t="shared" si="9"/>
        <v>4231</v>
      </c>
    </row>
    <row r="71" spans="1:12" x14ac:dyDescent="0.3">
      <c r="A71" s="12" t="s">
        <v>53</v>
      </c>
      <c r="B71">
        <f>SUM(B47:B51)</f>
        <v>4014</v>
      </c>
      <c r="C71">
        <f t="shared" ref="C71:L71" si="10">SUM(C47:C51)</f>
        <v>2856</v>
      </c>
      <c r="D71">
        <f t="shared" si="10"/>
        <v>7209</v>
      </c>
      <c r="E71">
        <f t="shared" si="10"/>
        <v>15895</v>
      </c>
      <c r="F71">
        <f t="shared" si="10"/>
        <v>6364</v>
      </c>
      <c r="G71">
        <f t="shared" si="10"/>
        <v>3167</v>
      </c>
      <c r="H71">
        <f t="shared" si="10"/>
        <v>4413</v>
      </c>
      <c r="I71">
        <f t="shared" si="10"/>
        <v>6596</v>
      </c>
      <c r="J71">
        <f t="shared" si="10"/>
        <v>10563</v>
      </c>
      <c r="K71">
        <f t="shared" si="10"/>
        <v>1922</v>
      </c>
      <c r="L71">
        <f t="shared" si="10"/>
        <v>7838</v>
      </c>
    </row>
    <row r="72" spans="1:12" x14ac:dyDescent="0.3">
      <c r="A72" s="12" t="s">
        <v>54</v>
      </c>
      <c r="B72">
        <f>SUM(B52:B55)</f>
        <v>16801</v>
      </c>
      <c r="C72">
        <f t="shared" ref="C72:L72" si="11">SUM(C52:C55)</f>
        <v>10652</v>
      </c>
      <c r="D72">
        <f t="shared" si="11"/>
        <v>13911</v>
      </c>
      <c r="E72">
        <f t="shared" si="11"/>
        <v>28175</v>
      </c>
      <c r="F72">
        <f t="shared" si="11"/>
        <v>12533</v>
      </c>
      <c r="G72">
        <f t="shared" si="11"/>
        <v>9429</v>
      </c>
      <c r="H72">
        <f t="shared" si="11"/>
        <v>9598</v>
      </c>
      <c r="I72">
        <f t="shared" si="11"/>
        <v>10898</v>
      </c>
      <c r="J72">
        <f t="shared" si="11"/>
        <v>18529</v>
      </c>
      <c r="K72">
        <f t="shared" si="11"/>
        <v>6892</v>
      </c>
      <c r="L72">
        <f t="shared" si="11"/>
        <v>9479</v>
      </c>
    </row>
    <row r="73" spans="1:12" x14ac:dyDescent="0.3">
      <c r="A73" s="12" t="s">
        <v>55</v>
      </c>
      <c r="B73">
        <f>SUM(B56:B60)</f>
        <v>10383</v>
      </c>
      <c r="C73">
        <f t="shared" ref="C73:L73" si="12">SUM(C56:C60)</f>
        <v>9480</v>
      </c>
      <c r="D73">
        <f t="shared" si="12"/>
        <v>8965</v>
      </c>
      <c r="E73">
        <f t="shared" si="12"/>
        <v>21050</v>
      </c>
      <c r="F73">
        <f t="shared" si="12"/>
        <v>10115</v>
      </c>
      <c r="G73">
        <f t="shared" si="12"/>
        <v>9083</v>
      </c>
      <c r="H73">
        <f t="shared" si="12"/>
        <v>11977</v>
      </c>
      <c r="I73">
        <f t="shared" si="12"/>
        <v>8940</v>
      </c>
      <c r="J73">
        <f t="shared" si="12"/>
        <v>11492</v>
      </c>
      <c r="K73">
        <f t="shared" si="12"/>
        <v>4760</v>
      </c>
      <c r="L73">
        <f t="shared" si="12"/>
        <v>10868</v>
      </c>
    </row>
    <row r="74" spans="1:12" x14ac:dyDescent="0.3">
      <c r="A74" s="12" t="s">
        <v>56</v>
      </c>
      <c r="B74">
        <f>SUM(B61:B63)</f>
        <v>2250</v>
      </c>
      <c r="C74">
        <f t="shared" ref="C74:L74" si="13">SUM(C61:C63)</f>
        <v>4007</v>
      </c>
      <c r="D74">
        <f t="shared" si="13"/>
        <v>1873</v>
      </c>
      <c r="E74">
        <f t="shared" si="13"/>
        <v>5049</v>
      </c>
      <c r="F74">
        <f t="shared" si="13"/>
        <v>2294</v>
      </c>
      <c r="G74">
        <f t="shared" si="13"/>
        <v>2790</v>
      </c>
      <c r="H74">
        <f t="shared" si="13"/>
        <v>3406</v>
      </c>
      <c r="I74">
        <f t="shared" si="13"/>
        <v>2624</v>
      </c>
      <c r="J74">
        <f t="shared" si="13"/>
        <v>2721</v>
      </c>
      <c r="K74">
        <f t="shared" si="13"/>
        <v>1453</v>
      </c>
      <c r="L74">
        <f t="shared" si="13"/>
        <v>3289</v>
      </c>
    </row>
    <row r="75" spans="1:12" x14ac:dyDescent="0.3">
      <c r="A75" s="12" t="s">
        <v>57</v>
      </c>
      <c r="B75">
        <f>SUM(B64:B66)</f>
        <v>1567</v>
      </c>
      <c r="C75">
        <f t="shared" ref="C75:L75" si="14">SUM(C64:C66)</f>
        <v>2108</v>
      </c>
      <c r="D75">
        <f t="shared" si="14"/>
        <v>946</v>
      </c>
      <c r="E75">
        <f t="shared" si="14"/>
        <v>2446</v>
      </c>
      <c r="F75">
        <f t="shared" si="14"/>
        <v>1727</v>
      </c>
      <c r="G75">
        <f t="shared" si="14"/>
        <v>2067</v>
      </c>
      <c r="H75">
        <f t="shared" si="14"/>
        <v>2495</v>
      </c>
      <c r="I75">
        <f t="shared" si="14"/>
        <v>1600</v>
      </c>
      <c r="J75">
        <f t="shared" si="14"/>
        <v>1416</v>
      </c>
      <c r="K75">
        <f t="shared" si="14"/>
        <v>850</v>
      </c>
      <c r="L75">
        <f t="shared" si="14"/>
        <v>2579</v>
      </c>
    </row>
    <row r="76" spans="1:12" x14ac:dyDescent="0.3">
      <c r="A76" s="143" t="s">
        <v>83</v>
      </c>
      <c r="B76" s="36">
        <f>SUM(B69:B75)</f>
        <v>40226</v>
      </c>
      <c r="C76" s="36">
        <f t="shared" ref="C76" si="15">SUM(C69:C75)</f>
        <v>32116</v>
      </c>
      <c r="D76" s="36">
        <f t="shared" ref="D76" si="16">SUM(D69:D75)</f>
        <v>40225</v>
      </c>
      <c r="E76" s="36">
        <f t="shared" ref="E76" si="17">SUM(E69:E75)</f>
        <v>96069</v>
      </c>
      <c r="F76" s="36">
        <f t="shared" ref="F76" si="18">SUM(F69:F75)</f>
        <v>42587</v>
      </c>
      <c r="G76" s="36">
        <f t="shared" ref="G76" si="19">SUM(G69:G75)</f>
        <v>32395</v>
      </c>
      <c r="H76" s="36">
        <f t="shared" ref="H76" si="20">SUM(H69:H75)</f>
        <v>38487</v>
      </c>
      <c r="I76" s="36">
        <f t="shared" ref="I76" si="21">SUM(I69:I75)</f>
        <v>38769</v>
      </c>
      <c r="J76" s="36">
        <f t="shared" ref="J76" si="22">SUM(J69:J75)</f>
        <v>60935</v>
      </c>
      <c r="K76" s="36">
        <f t="shared" ref="K76" si="23">SUM(K69:K75)</f>
        <v>18175</v>
      </c>
      <c r="L76" s="36">
        <f t="shared" ref="L76" si="24">SUM(L69:L75)</f>
        <v>40359</v>
      </c>
    </row>
    <row r="77" spans="1:12" x14ac:dyDescent="0.3">
      <c r="A77" s="143"/>
    </row>
    <row r="78" spans="1:12" x14ac:dyDescent="0.3">
      <c r="A78" s="151" t="s">
        <v>231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1:12" x14ac:dyDescent="0.3">
      <c r="A79" s="152"/>
      <c r="B79" s="70">
        <v>90802</v>
      </c>
      <c r="C79" s="70">
        <v>90803</v>
      </c>
      <c r="D79" s="70">
        <v>90804</v>
      </c>
      <c r="E79" s="70">
        <v>90805</v>
      </c>
      <c r="F79" s="70">
        <v>90806</v>
      </c>
      <c r="G79" s="70">
        <v>90807</v>
      </c>
      <c r="H79" s="70">
        <v>90808</v>
      </c>
      <c r="I79" s="70">
        <v>90810</v>
      </c>
      <c r="J79" s="70">
        <v>90813</v>
      </c>
      <c r="K79" s="70">
        <v>90814</v>
      </c>
      <c r="L79" s="70">
        <v>90815</v>
      </c>
    </row>
    <row r="80" spans="1:12" x14ac:dyDescent="0.3">
      <c r="A80" s="152" t="s">
        <v>83</v>
      </c>
      <c r="B80" s="80">
        <v>39453</v>
      </c>
      <c r="C80" s="80">
        <v>32389</v>
      </c>
      <c r="D80" s="80">
        <v>39344</v>
      </c>
      <c r="E80" s="80">
        <v>96708</v>
      </c>
      <c r="F80" s="80">
        <v>42817</v>
      </c>
      <c r="G80" s="80">
        <v>32067</v>
      </c>
      <c r="H80" s="80">
        <v>38860</v>
      </c>
      <c r="I80" s="80">
        <v>38579</v>
      </c>
      <c r="J80" s="80">
        <v>59000</v>
      </c>
      <c r="K80" s="80">
        <v>18587</v>
      </c>
      <c r="L80" s="80">
        <v>41026</v>
      </c>
    </row>
    <row r="81" spans="1:12" x14ac:dyDescent="0.3">
      <c r="A81" s="153" t="s">
        <v>185</v>
      </c>
      <c r="B81" s="36">
        <v>2063</v>
      </c>
      <c r="C81" s="36">
        <v>1132</v>
      </c>
      <c r="D81" s="36">
        <v>2357</v>
      </c>
      <c r="E81" s="36">
        <v>8219</v>
      </c>
      <c r="F81" s="36">
        <v>3321</v>
      </c>
      <c r="G81" s="36">
        <v>2041</v>
      </c>
      <c r="H81" s="36">
        <v>2146</v>
      </c>
      <c r="I81" s="36">
        <v>2481</v>
      </c>
      <c r="J81" s="36">
        <v>5446</v>
      </c>
      <c r="K81" s="36">
        <v>981</v>
      </c>
      <c r="L81" s="36">
        <v>2117</v>
      </c>
    </row>
    <row r="82" spans="1:12" x14ac:dyDescent="0.3">
      <c r="A82" s="153" t="s">
        <v>186</v>
      </c>
      <c r="B82" s="36">
        <v>1308</v>
      </c>
      <c r="C82" s="36">
        <v>907</v>
      </c>
      <c r="D82" s="36">
        <v>2267</v>
      </c>
      <c r="E82" s="36">
        <v>7707</v>
      </c>
      <c r="F82" s="36">
        <v>3104</v>
      </c>
      <c r="G82" s="36">
        <v>1540</v>
      </c>
      <c r="H82" s="36">
        <v>2331</v>
      </c>
      <c r="I82" s="36">
        <v>2790</v>
      </c>
      <c r="J82" s="36">
        <v>4936</v>
      </c>
      <c r="K82" s="36">
        <v>743</v>
      </c>
      <c r="L82" s="36">
        <v>1790</v>
      </c>
    </row>
    <row r="83" spans="1:12" x14ac:dyDescent="0.3">
      <c r="A83" s="153" t="s">
        <v>187</v>
      </c>
      <c r="B83" s="36">
        <v>1524</v>
      </c>
      <c r="C83" s="36">
        <v>983</v>
      </c>
      <c r="D83" s="36">
        <v>2172</v>
      </c>
      <c r="E83" s="36">
        <v>7599</v>
      </c>
      <c r="F83" s="36">
        <v>2976</v>
      </c>
      <c r="G83" s="36">
        <v>1722</v>
      </c>
      <c r="H83" s="36">
        <v>2324</v>
      </c>
      <c r="I83" s="36">
        <v>2696</v>
      </c>
      <c r="J83" s="36">
        <v>4699</v>
      </c>
      <c r="K83" s="36">
        <v>691</v>
      </c>
      <c r="L83" s="36">
        <v>2307</v>
      </c>
    </row>
    <row r="84" spans="1:12" x14ac:dyDescent="0.3">
      <c r="A84" s="153" t="s">
        <v>188</v>
      </c>
      <c r="B84" s="36">
        <v>853</v>
      </c>
      <c r="C84" s="36">
        <v>686</v>
      </c>
      <c r="D84" s="36">
        <v>1395</v>
      </c>
      <c r="E84" s="36">
        <v>4626</v>
      </c>
      <c r="F84" s="36">
        <v>1816</v>
      </c>
      <c r="G84" s="36">
        <v>1025</v>
      </c>
      <c r="H84" s="36">
        <v>1190</v>
      </c>
      <c r="I84" s="36">
        <v>2016</v>
      </c>
      <c r="J84" s="36">
        <v>2750</v>
      </c>
      <c r="K84" s="36">
        <v>471</v>
      </c>
      <c r="L84" s="36">
        <v>1416</v>
      </c>
    </row>
    <row r="85" spans="1:12" x14ac:dyDescent="0.3">
      <c r="A85" s="153" t="s">
        <v>189</v>
      </c>
      <c r="B85" s="36">
        <v>668</v>
      </c>
      <c r="C85" s="36">
        <v>376</v>
      </c>
      <c r="D85" s="36">
        <v>1238</v>
      </c>
      <c r="E85" s="36">
        <v>2451</v>
      </c>
      <c r="F85" s="36">
        <v>1241</v>
      </c>
      <c r="G85" s="36">
        <v>606</v>
      </c>
      <c r="H85" s="36">
        <v>763</v>
      </c>
      <c r="I85" s="36">
        <v>1367</v>
      </c>
      <c r="J85" s="36">
        <v>1816</v>
      </c>
      <c r="K85" s="36">
        <v>235</v>
      </c>
      <c r="L85" s="36">
        <v>2268</v>
      </c>
    </row>
    <row r="86" spans="1:12" x14ac:dyDescent="0.3">
      <c r="A86" s="153" t="s">
        <v>190</v>
      </c>
      <c r="B86" s="36">
        <v>580</v>
      </c>
      <c r="C86" s="36">
        <v>275</v>
      </c>
      <c r="D86" s="36">
        <v>858</v>
      </c>
      <c r="E86" s="36">
        <v>1591</v>
      </c>
      <c r="F86" s="36">
        <v>844</v>
      </c>
      <c r="G86" s="36">
        <v>351</v>
      </c>
      <c r="H86" s="36">
        <v>325</v>
      </c>
      <c r="I86" s="36">
        <v>583</v>
      </c>
      <c r="J86" s="36">
        <v>1180</v>
      </c>
      <c r="K86" s="36">
        <v>201</v>
      </c>
      <c r="L86" s="36">
        <v>1185</v>
      </c>
    </row>
    <row r="87" spans="1:12" x14ac:dyDescent="0.3">
      <c r="A87" s="153" t="s">
        <v>191</v>
      </c>
      <c r="B87" s="36">
        <v>435</v>
      </c>
      <c r="C87" s="36">
        <v>357</v>
      </c>
      <c r="D87" s="36">
        <v>1182</v>
      </c>
      <c r="E87" s="36">
        <v>1831</v>
      </c>
      <c r="F87" s="36">
        <v>640</v>
      </c>
      <c r="G87" s="36">
        <v>166</v>
      </c>
      <c r="H87" s="36">
        <v>181</v>
      </c>
      <c r="I87" s="36">
        <v>761</v>
      </c>
      <c r="J87" s="36">
        <v>1080</v>
      </c>
      <c r="K87" s="36">
        <v>159</v>
      </c>
      <c r="L87" s="36">
        <v>848</v>
      </c>
    </row>
    <row r="88" spans="1:12" x14ac:dyDescent="0.3">
      <c r="A88" s="153" t="s">
        <v>192</v>
      </c>
      <c r="B88" s="36">
        <v>1515</v>
      </c>
      <c r="C88" s="36">
        <v>1216</v>
      </c>
      <c r="D88" s="36">
        <v>2223</v>
      </c>
      <c r="E88" s="36">
        <v>4418</v>
      </c>
      <c r="F88" s="36">
        <v>2137</v>
      </c>
      <c r="G88" s="36">
        <v>1195</v>
      </c>
      <c r="H88" s="36">
        <v>1382</v>
      </c>
      <c r="I88" s="36">
        <v>2049</v>
      </c>
      <c r="J88" s="36">
        <v>3124</v>
      </c>
      <c r="K88" s="36">
        <v>790</v>
      </c>
      <c r="L88" s="36">
        <v>2320</v>
      </c>
    </row>
    <row r="89" spans="1:12" x14ac:dyDescent="0.3">
      <c r="A89" s="153" t="s">
        <v>193</v>
      </c>
      <c r="B89" s="36">
        <v>5606</v>
      </c>
      <c r="C89" s="36">
        <v>2895</v>
      </c>
      <c r="D89" s="36">
        <v>4715</v>
      </c>
      <c r="E89" s="36">
        <v>8414</v>
      </c>
      <c r="F89" s="36">
        <v>3498</v>
      </c>
      <c r="G89" s="36">
        <v>2170</v>
      </c>
      <c r="H89" s="36">
        <v>2256</v>
      </c>
      <c r="I89" s="36">
        <v>3087</v>
      </c>
      <c r="J89" s="36">
        <v>5323</v>
      </c>
      <c r="K89" s="36">
        <v>2077</v>
      </c>
      <c r="L89" s="36">
        <v>2708</v>
      </c>
    </row>
    <row r="90" spans="1:12" x14ac:dyDescent="0.3">
      <c r="A90" s="153" t="s">
        <v>194</v>
      </c>
      <c r="B90" s="36">
        <v>4552</v>
      </c>
      <c r="C90" s="36">
        <v>3068</v>
      </c>
      <c r="D90" s="36">
        <v>3519</v>
      </c>
      <c r="E90" s="36">
        <v>8161</v>
      </c>
      <c r="F90" s="36">
        <v>3031</v>
      </c>
      <c r="G90" s="36">
        <v>2622</v>
      </c>
      <c r="H90" s="36">
        <v>1934</v>
      </c>
      <c r="I90" s="36">
        <v>2369</v>
      </c>
      <c r="J90" s="36">
        <v>5518</v>
      </c>
      <c r="K90" s="36">
        <v>2197</v>
      </c>
      <c r="L90" s="36">
        <v>2238</v>
      </c>
    </row>
    <row r="91" spans="1:12" x14ac:dyDescent="0.3">
      <c r="A91" s="153" t="s">
        <v>195</v>
      </c>
      <c r="B91" s="36">
        <v>3130</v>
      </c>
      <c r="C91" s="36">
        <v>2243</v>
      </c>
      <c r="D91" s="36">
        <v>3146</v>
      </c>
      <c r="E91" s="36">
        <v>6501</v>
      </c>
      <c r="F91" s="36">
        <v>3271</v>
      </c>
      <c r="G91" s="36">
        <v>2207</v>
      </c>
      <c r="H91" s="36">
        <v>2593</v>
      </c>
      <c r="I91" s="36">
        <v>2511</v>
      </c>
      <c r="J91" s="36">
        <v>3989</v>
      </c>
      <c r="K91" s="36">
        <v>1204</v>
      </c>
      <c r="L91" s="36">
        <v>2410</v>
      </c>
    </row>
    <row r="92" spans="1:12" x14ac:dyDescent="0.3">
      <c r="A92" s="153" t="s">
        <v>196</v>
      </c>
      <c r="B92" s="36">
        <v>3080</v>
      </c>
      <c r="C92" s="36">
        <v>2291</v>
      </c>
      <c r="D92" s="36">
        <v>2585</v>
      </c>
      <c r="E92" s="36">
        <v>6065</v>
      </c>
      <c r="F92" s="36">
        <v>2711</v>
      </c>
      <c r="G92" s="36">
        <v>2080</v>
      </c>
      <c r="H92" s="36">
        <v>3319</v>
      </c>
      <c r="I92" s="36">
        <v>2702</v>
      </c>
      <c r="J92" s="36">
        <v>3407</v>
      </c>
      <c r="K92" s="36">
        <v>1565</v>
      </c>
      <c r="L92" s="36">
        <v>2622</v>
      </c>
    </row>
    <row r="93" spans="1:12" x14ac:dyDescent="0.3">
      <c r="A93" s="153" t="s">
        <v>197</v>
      </c>
      <c r="B93" s="36">
        <v>2882</v>
      </c>
      <c r="C93" s="36">
        <v>2623</v>
      </c>
      <c r="D93" s="36">
        <v>2848</v>
      </c>
      <c r="E93" s="36">
        <v>6445</v>
      </c>
      <c r="F93" s="36">
        <v>2837</v>
      </c>
      <c r="G93" s="36">
        <v>2468</v>
      </c>
      <c r="H93" s="36">
        <v>3038</v>
      </c>
      <c r="I93" s="36">
        <v>2192</v>
      </c>
      <c r="J93" s="36">
        <v>3288</v>
      </c>
      <c r="K93" s="36">
        <v>949</v>
      </c>
      <c r="L93" s="36">
        <v>3148</v>
      </c>
    </row>
    <row r="94" spans="1:12" x14ac:dyDescent="0.3">
      <c r="A94" s="153" t="s">
        <v>198</v>
      </c>
      <c r="B94" s="36">
        <v>2829</v>
      </c>
      <c r="C94" s="36">
        <v>2562</v>
      </c>
      <c r="D94" s="36">
        <v>2570</v>
      </c>
      <c r="E94" s="36">
        <v>5238</v>
      </c>
      <c r="F94" s="36">
        <v>3343</v>
      </c>
      <c r="G94" s="36">
        <v>2266</v>
      </c>
      <c r="H94" s="36">
        <v>3206</v>
      </c>
      <c r="I94" s="36">
        <v>2675</v>
      </c>
      <c r="J94" s="36">
        <v>2859</v>
      </c>
      <c r="K94" s="36">
        <v>1694</v>
      </c>
      <c r="L94" s="36">
        <v>2627</v>
      </c>
    </row>
    <row r="95" spans="1:12" x14ac:dyDescent="0.3">
      <c r="A95" s="153" t="s">
        <v>199</v>
      </c>
      <c r="B95" s="36">
        <v>2354</v>
      </c>
      <c r="C95" s="36">
        <v>2582</v>
      </c>
      <c r="D95" s="36">
        <v>2070</v>
      </c>
      <c r="E95" s="36">
        <v>4793</v>
      </c>
      <c r="F95" s="36">
        <v>1770</v>
      </c>
      <c r="G95" s="36">
        <v>2351</v>
      </c>
      <c r="H95" s="36">
        <v>3083</v>
      </c>
      <c r="I95" s="36">
        <v>1813</v>
      </c>
      <c r="J95" s="36">
        <v>2985</v>
      </c>
      <c r="K95" s="36">
        <v>1272</v>
      </c>
      <c r="L95" s="36">
        <v>2439</v>
      </c>
    </row>
    <row r="96" spans="1:12" x14ac:dyDescent="0.3">
      <c r="A96" s="153" t="s">
        <v>200</v>
      </c>
      <c r="B96" s="36">
        <v>1074</v>
      </c>
      <c r="C96" s="36">
        <v>894</v>
      </c>
      <c r="D96" s="36">
        <v>523</v>
      </c>
      <c r="E96" s="36">
        <v>1905</v>
      </c>
      <c r="F96" s="36">
        <v>916</v>
      </c>
      <c r="G96" s="36">
        <v>1175</v>
      </c>
      <c r="H96" s="36">
        <v>1317</v>
      </c>
      <c r="I96" s="36">
        <v>927</v>
      </c>
      <c r="J96" s="36">
        <v>1018</v>
      </c>
      <c r="K96" s="36">
        <v>369</v>
      </c>
      <c r="L96" s="36">
        <v>1161</v>
      </c>
    </row>
    <row r="97" spans="1:12" x14ac:dyDescent="0.3">
      <c r="A97" s="153" t="s">
        <v>201</v>
      </c>
      <c r="B97" s="36">
        <v>1220</v>
      </c>
      <c r="C97" s="36">
        <v>1182</v>
      </c>
      <c r="D97" s="36">
        <v>789</v>
      </c>
      <c r="E97" s="36">
        <v>2633</v>
      </c>
      <c r="F97" s="36">
        <v>1322</v>
      </c>
      <c r="G97" s="36">
        <v>1025</v>
      </c>
      <c r="H97" s="36">
        <v>1542</v>
      </c>
      <c r="I97" s="36">
        <v>1301</v>
      </c>
      <c r="J97" s="36">
        <v>1454</v>
      </c>
      <c r="K97" s="36">
        <v>676</v>
      </c>
      <c r="L97" s="36">
        <v>1340</v>
      </c>
    </row>
    <row r="98" spans="1:12" x14ac:dyDescent="0.3">
      <c r="A98" s="153" t="s">
        <v>202</v>
      </c>
      <c r="B98" s="36">
        <v>659</v>
      </c>
      <c r="C98" s="36">
        <v>1141</v>
      </c>
      <c r="D98" s="36">
        <v>443</v>
      </c>
      <c r="E98" s="36">
        <v>1478</v>
      </c>
      <c r="F98" s="36">
        <v>546</v>
      </c>
      <c r="G98" s="36">
        <v>740</v>
      </c>
      <c r="H98" s="36">
        <v>731</v>
      </c>
      <c r="I98" s="36">
        <v>697</v>
      </c>
      <c r="J98" s="36">
        <v>752</v>
      </c>
      <c r="K98" s="36">
        <v>293</v>
      </c>
      <c r="L98" s="36">
        <v>801</v>
      </c>
    </row>
    <row r="99" spans="1:12" x14ac:dyDescent="0.3">
      <c r="A99" s="153" t="s">
        <v>203</v>
      </c>
      <c r="B99" s="36">
        <v>752</v>
      </c>
      <c r="C99" s="36">
        <v>1123</v>
      </c>
      <c r="D99" s="36">
        <v>762</v>
      </c>
      <c r="E99" s="36">
        <v>1884</v>
      </c>
      <c r="F99" s="36">
        <v>915</v>
      </c>
      <c r="G99" s="36">
        <v>1128</v>
      </c>
      <c r="H99" s="36">
        <v>1117</v>
      </c>
      <c r="I99" s="36">
        <v>816</v>
      </c>
      <c r="J99" s="36">
        <v>1045</v>
      </c>
      <c r="K99" s="36">
        <v>665</v>
      </c>
      <c r="L99" s="36">
        <v>1249</v>
      </c>
    </row>
    <row r="100" spans="1:12" x14ac:dyDescent="0.3">
      <c r="A100" s="153" t="s">
        <v>204</v>
      </c>
      <c r="B100" s="36">
        <v>704</v>
      </c>
      <c r="C100" s="36">
        <v>1483</v>
      </c>
      <c r="D100" s="36">
        <v>737</v>
      </c>
      <c r="E100" s="36">
        <v>2216</v>
      </c>
      <c r="F100" s="36">
        <v>850</v>
      </c>
      <c r="G100" s="36">
        <v>1280</v>
      </c>
      <c r="H100" s="36">
        <v>1576</v>
      </c>
      <c r="I100" s="36">
        <v>991</v>
      </c>
      <c r="J100" s="36">
        <v>963</v>
      </c>
      <c r="K100" s="36">
        <v>576</v>
      </c>
      <c r="L100" s="36">
        <v>1376</v>
      </c>
    </row>
    <row r="101" spans="1:12" x14ac:dyDescent="0.3">
      <c r="A101" s="153" t="s">
        <v>205</v>
      </c>
      <c r="B101" s="36">
        <v>887</v>
      </c>
      <c r="C101" s="36">
        <v>1077</v>
      </c>
      <c r="D101" s="36">
        <v>491</v>
      </c>
      <c r="E101" s="36">
        <v>1065</v>
      </c>
      <c r="F101" s="36">
        <v>619</v>
      </c>
      <c r="G101" s="36">
        <v>664</v>
      </c>
      <c r="H101" s="36">
        <v>791</v>
      </c>
      <c r="I101" s="36">
        <v>570</v>
      </c>
      <c r="J101" s="36">
        <v>594</v>
      </c>
      <c r="K101" s="36">
        <v>202</v>
      </c>
      <c r="L101" s="36">
        <v>958</v>
      </c>
    </row>
    <row r="102" spans="1:12" x14ac:dyDescent="0.3">
      <c r="A102" s="153" t="s">
        <v>206</v>
      </c>
      <c r="B102" s="36">
        <v>455</v>
      </c>
      <c r="C102" s="36">
        <v>564</v>
      </c>
      <c r="D102" s="36">
        <v>200</v>
      </c>
      <c r="E102" s="36">
        <v>796</v>
      </c>
      <c r="F102" s="36">
        <v>602</v>
      </c>
      <c r="G102" s="36">
        <v>332</v>
      </c>
      <c r="H102" s="36">
        <v>774</v>
      </c>
      <c r="I102" s="36">
        <v>635</v>
      </c>
      <c r="J102" s="36">
        <v>426</v>
      </c>
      <c r="K102" s="36">
        <v>196</v>
      </c>
      <c r="L102" s="36">
        <v>702</v>
      </c>
    </row>
    <row r="103" spans="1:12" x14ac:dyDescent="0.3">
      <c r="A103" s="153" t="s">
        <v>207</v>
      </c>
      <c r="B103" s="36">
        <v>323</v>
      </c>
      <c r="C103" s="36">
        <v>729</v>
      </c>
      <c r="D103" s="36">
        <v>254</v>
      </c>
      <c r="E103" s="36">
        <v>672</v>
      </c>
      <c r="F103" s="36">
        <v>507</v>
      </c>
      <c r="G103" s="36">
        <v>913</v>
      </c>
      <c r="H103" s="36">
        <v>941</v>
      </c>
      <c r="I103" s="36">
        <v>550</v>
      </c>
      <c r="J103" s="36">
        <v>348</v>
      </c>
      <c r="K103" s="36">
        <v>381</v>
      </c>
      <c r="L103" s="36">
        <v>996</v>
      </c>
    </row>
    <row r="105" spans="1:12" x14ac:dyDescent="0.3">
      <c r="A105" s="143" t="s">
        <v>47</v>
      </c>
      <c r="B105" s="36" t="s">
        <v>232</v>
      </c>
      <c r="C105" s="36" t="s">
        <v>233</v>
      </c>
      <c r="D105" s="36" t="s">
        <v>234</v>
      </c>
      <c r="E105" s="36" t="s">
        <v>235</v>
      </c>
      <c r="F105" s="36" t="s">
        <v>236</v>
      </c>
      <c r="G105" s="36" t="s">
        <v>237</v>
      </c>
      <c r="H105" s="36" t="s">
        <v>238</v>
      </c>
      <c r="I105" s="36" t="s">
        <v>239</v>
      </c>
      <c r="J105" s="36" t="s">
        <v>240</v>
      </c>
      <c r="K105" s="36" t="s">
        <v>241</v>
      </c>
      <c r="L105" s="36" t="s">
        <v>242</v>
      </c>
    </row>
    <row r="106" spans="1:12" x14ac:dyDescent="0.3">
      <c r="A106" s="12" t="s">
        <v>49</v>
      </c>
      <c r="B106">
        <f>SUM(B81)</f>
        <v>2063</v>
      </c>
      <c r="C106">
        <f t="shared" ref="C106:L106" si="25">SUM(C81)</f>
        <v>1132</v>
      </c>
      <c r="D106">
        <f t="shared" si="25"/>
        <v>2357</v>
      </c>
      <c r="E106">
        <f t="shared" si="25"/>
        <v>8219</v>
      </c>
      <c r="F106">
        <f t="shared" si="25"/>
        <v>3321</v>
      </c>
      <c r="G106">
        <f t="shared" si="25"/>
        <v>2041</v>
      </c>
      <c r="H106">
        <f t="shared" si="25"/>
        <v>2146</v>
      </c>
      <c r="I106">
        <f t="shared" si="25"/>
        <v>2481</v>
      </c>
      <c r="J106">
        <f t="shared" si="25"/>
        <v>5446</v>
      </c>
      <c r="K106">
        <f t="shared" si="25"/>
        <v>981</v>
      </c>
      <c r="L106">
        <f t="shared" si="25"/>
        <v>2117</v>
      </c>
    </row>
    <row r="107" spans="1:12" x14ac:dyDescent="0.3">
      <c r="A107" s="12" t="s">
        <v>51</v>
      </c>
      <c r="B107">
        <f>SUM(B82:B83)</f>
        <v>2832</v>
      </c>
      <c r="C107">
        <f t="shared" ref="C107:L107" si="26">SUM(C82:C83)</f>
        <v>1890</v>
      </c>
      <c r="D107">
        <f t="shared" si="26"/>
        <v>4439</v>
      </c>
      <c r="E107">
        <f t="shared" si="26"/>
        <v>15306</v>
      </c>
      <c r="F107">
        <f t="shared" si="26"/>
        <v>6080</v>
      </c>
      <c r="G107">
        <f t="shared" si="26"/>
        <v>3262</v>
      </c>
      <c r="H107">
        <f t="shared" si="26"/>
        <v>4655</v>
      </c>
      <c r="I107">
        <f t="shared" si="26"/>
        <v>5486</v>
      </c>
      <c r="J107">
        <f t="shared" si="26"/>
        <v>9635</v>
      </c>
      <c r="K107">
        <f t="shared" si="26"/>
        <v>1434</v>
      </c>
      <c r="L107">
        <f t="shared" si="26"/>
        <v>4097</v>
      </c>
    </row>
    <row r="108" spans="1:12" x14ac:dyDescent="0.3">
      <c r="A108" s="12" t="s">
        <v>53</v>
      </c>
      <c r="B108">
        <f>SUM(B84:B88)</f>
        <v>4051</v>
      </c>
      <c r="C108">
        <f t="shared" ref="C108:L108" si="27">SUM(C84:C88)</f>
        <v>2910</v>
      </c>
      <c r="D108">
        <f t="shared" si="27"/>
        <v>6896</v>
      </c>
      <c r="E108">
        <f t="shared" si="27"/>
        <v>14917</v>
      </c>
      <c r="F108">
        <f t="shared" si="27"/>
        <v>6678</v>
      </c>
      <c r="G108">
        <f t="shared" si="27"/>
        <v>3343</v>
      </c>
      <c r="H108">
        <f t="shared" si="27"/>
        <v>3841</v>
      </c>
      <c r="I108">
        <f t="shared" si="27"/>
        <v>6776</v>
      </c>
      <c r="J108">
        <f t="shared" si="27"/>
        <v>9950</v>
      </c>
      <c r="K108">
        <f t="shared" si="27"/>
        <v>1856</v>
      </c>
      <c r="L108">
        <f t="shared" si="27"/>
        <v>8037</v>
      </c>
    </row>
    <row r="109" spans="1:12" x14ac:dyDescent="0.3">
      <c r="A109" s="12" t="s">
        <v>54</v>
      </c>
      <c r="B109">
        <f>SUM(B89:B92)</f>
        <v>16368</v>
      </c>
      <c r="C109">
        <f t="shared" ref="C109:L109" si="28">SUM(C89:C92)</f>
        <v>10497</v>
      </c>
      <c r="D109">
        <f t="shared" si="28"/>
        <v>13965</v>
      </c>
      <c r="E109">
        <f t="shared" si="28"/>
        <v>29141</v>
      </c>
      <c r="F109">
        <f t="shared" si="28"/>
        <v>12511</v>
      </c>
      <c r="G109">
        <f t="shared" si="28"/>
        <v>9079</v>
      </c>
      <c r="H109">
        <f t="shared" si="28"/>
        <v>10102</v>
      </c>
      <c r="I109">
        <f t="shared" si="28"/>
        <v>10669</v>
      </c>
      <c r="J109">
        <f t="shared" si="28"/>
        <v>18237</v>
      </c>
      <c r="K109">
        <f t="shared" si="28"/>
        <v>7043</v>
      </c>
      <c r="L109">
        <f t="shared" si="28"/>
        <v>9978</v>
      </c>
    </row>
    <row r="110" spans="1:12" x14ac:dyDescent="0.3">
      <c r="A110" s="12" t="s">
        <v>55</v>
      </c>
      <c r="B110">
        <f>SUM(B93:B97)</f>
        <v>10359</v>
      </c>
      <c r="C110">
        <f t="shared" ref="C110:L110" si="29">SUM(C93:C97)</f>
        <v>9843</v>
      </c>
      <c r="D110">
        <f t="shared" si="29"/>
        <v>8800</v>
      </c>
      <c r="E110">
        <f t="shared" si="29"/>
        <v>21014</v>
      </c>
      <c r="F110">
        <f t="shared" si="29"/>
        <v>10188</v>
      </c>
      <c r="G110">
        <f t="shared" si="29"/>
        <v>9285</v>
      </c>
      <c r="H110">
        <f t="shared" si="29"/>
        <v>12186</v>
      </c>
      <c r="I110">
        <f t="shared" si="29"/>
        <v>8908</v>
      </c>
      <c r="J110">
        <f t="shared" si="29"/>
        <v>11604</v>
      </c>
      <c r="K110">
        <f t="shared" si="29"/>
        <v>4960</v>
      </c>
      <c r="L110">
        <f t="shared" si="29"/>
        <v>10715</v>
      </c>
    </row>
    <row r="111" spans="1:12" x14ac:dyDescent="0.3">
      <c r="A111" s="12" t="s">
        <v>56</v>
      </c>
      <c r="B111">
        <f>SUM(B98:B100)</f>
        <v>2115</v>
      </c>
      <c r="C111">
        <f t="shared" ref="C111:L111" si="30">SUM(C98:C100)</f>
        <v>3747</v>
      </c>
      <c r="D111">
        <f t="shared" si="30"/>
        <v>1942</v>
      </c>
      <c r="E111">
        <f t="shared" si="30"/>
        <v>5578</v>
      </c>
      <c r="F111">
        <f t="shared" si="30"/>
        <v>2311</v>
      </c>
      <c r="G111">
        <f t="shared" si="30"/>
        <v>3148</v>
      </c>
      <c r="H111">
        <f t="shared" si="30"/>
        <v>3424</v>
      </c>
      <c r="I111">
        <f t="shared" si="30"/>
        <v>2504</v>
      </c>
      <c r="J111">
        <f t="shared" si="30"/>
        <v>2760</v>
      </c>
      <c r="K111">
        <f t="shared" si="30"/>
        <v>1534</v>
      </c>
      <c r="L111">
        <f t="shared" si="30"/>
        <v>3426</v>
      </c>
    </row>
    <row r="112" spans="1:12" x14ac:dyDescent="0.3">
      <c r="A112" s="12" t="s">
        <v>57</v>
      </c>
      <c r="B112">
        <f>SUM(B101:B103)</f>
        <v>1665</v>
      </c>
      <c r="C112">
        <f t="shared" ref="C112:L112" si="31">SUM(C101:C103)</f>
        <v>2370</v>
      </c>
      <c r="D112">
        <f t="shared" si="31"/>
        <v>945</v>
      </c>
      <c r="E112">
        <f t="shared" si="31"/>
        <v>2533</v>
      </c>
      <c r="F112">
        <f t="shared" si="31"/>
        <v>1728</v>
      </c>
      <c r="G112">
        <f t="shared" si="31"/>
        <v>1909</v>
      </c>
      <c r="H112">
        <f t="shared" si="31"/>
        <v>2506</v>
      </c>
      <c r="I112">
        <f t="shared" si="31"/>
        <v>1755</v>
      </c>
      <c r="J112">
        <f t="shared" si="31"/>
        <v>1368</v>
      </c>
      <c r="K112">
        <f t="shared" si="31"/>
        <v>779</v>
      </c>
      <c r="L112">
        <f t="shared" si="31"/>
        <v>2656</v>
      </c>
    </row>
    <row r="113" spans="1:12" x14ac:dyDescent="0.3">
      <c r="A113" s="143" t="s">
        <v>83</v>
      </c>
      <c r="B113" s="36">
        <f>SUM(B106:B112)</f>
        <v>39453</v>
      </c>
      <c r="C113" s="36">
        <f t="shared" ref="C113" si="32">SUM(C106:C112)</f>
        <v>32389</v>
      </c>
      <c r="D113" s="36">
        <f t="shared" ref="D113" si="33">SUM(D106:D112)</f>
        <v>39344</v>
      </c>
      <c r="E113" s="36">
        <f t="shared" ref="E113" si="34">SUM(E106:E112)</f>
        <v>96708</v>
      </c>
      <c r="F113" s="36">
        <f t="shared" ref="F113" si="35">SUM(F106:F112)</f>
        <v>42817</v>
      </c>
      <c r="G113" s="36">
        <f t="shared" ref="G113" si="36">SUM(G106:G112)</f>
        <v>32067</v>
      </c>
      <c r="H113" s="36">
        <f t="shared" ref="H113" si="37">SUM(H106:H112)</f>
        <v>38860</v>
      </c>
      <c r="I113" s="36">
        <f t="shared" ref="I113" si="38">SUM(I106:I112)</f>
        <v>38579</v>
      </c>
      <c r="J113" s="36">
        <f t="shared" ref="J113" si="39">SUM(J106:J112)</f>
        <v>59000</v>
      </c>
      <c r="K113" s="36">
        <f t="shared" ref="K113" si="40">SUM(K106:K112)</f>
        <v>18587</v>
      </c>
      <c r="L113" s="36">
        <f t="shared" ref="L113" si="41">SUM(L106:L112)</f>
        <v>41026</v>
      </c>
    </row>
    <row r="114" spans="1:12" x14ac:dyDescent="0.3">
      <c r="A114" s="143"/>
    </row>
    <row r="115" spans="1:12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 x14ac:dyDescent="0.3">
      <c r="A116" s="151" t="s">
        <v>243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2" x14ac:dyDescent="0.3">
      <c r="A117" s="152"/>
      <c r="B117" s="70">
        <v>90802</v>
      </c>
      <c r="C117" s="70">
        <v>90803</v>
      </c>
      <c r="D117" s="70">
        <v>90804</v>
      </c>
      <c r="E117" s="70">
        <v>90805</v>
      </c>
      <c r="F117" s="70">
        <v>90806</v>
      </c>
      <c r="G117" s="70">
        <v>90807</v>
      </c>
      <c r="H117" s="70">
        <v>90808</v>
      </c>
      <c r="I117" s="70">
        <v>90810</v>
      </c>
      <c r="J117" s="70">
        <v>90813</v>
      </c>
      <c r="K117" s="70">
        <v>90814</v>
      </c>
      <c r="L117" s="70">
        <v>90815</v>
      </c>
    </row>
    <row r="118" spans="1:12" x14ac:dyDescent="0.3">
      <c r="A118" s="152" t="s">
        <v>83</v>
      </c>
      <c r="B118" s="80">
        <v>38962</v>
      </c>
      <c r="C118" s="80">
        <v>32126</v>
      </c>
      <c r="D118" s="80">
        <v>39239</v>
      </c>
      <c r="E118" s="80">
        <v>95995</v>
      </c>
      <c r="F118" s="80">
        <v>41990</v>
      </c>
      <c r="G118" s="80">
        <v>32202</v>
      </c>
      <c r="H118" s="80">
        <v>39330</v>
      </c>
      <c r="I118" s="80">
        <v>37251</v>
      </c>
      <c r="J118" s="80">
        <v>58380</v>
      </c>
      <c r="K118" s="80">
        <v>19685</v>
      </c>
      <c r="L118" s="80">
        <v>41312</v>
      </c>
    </row>
    <row r="119" spans="1:12" x14ac:dyDescent="0.3">
      <c r="A119" s="153" t="s">
        <v>185</v>
      </c>
      <c r="B119" s="36">
        <v>1945</v>
      </c>
      <c r="C119" s="36">
        <v>1122</v>
      </c>
      <c r="D119" s="36">
        <v>2607</v>
      </c>
      <c r="E119" s="36">
        <v>7716</v>
      </c>
      <c r="F119" s="36">
        <v>3233</v>
      </c>
      <c r="G119" s="36">
        <v>1761</v>
      </c>
      <c r="H119" s="36">
        <v>2151</v>
      </c>
      <c r="I119" s="36">
        <v>2242</v>
      </c>
      <c r="J119" s="36">
        <v>4921</v>
      </c>
      <c r="K119" s="36">
        <v>1085</v>
      </c>
      <c r="L119" s="36">
        <v>2329</v>
      </c>
    </row>
    <row r="120" spans="1:12" x14ac:dyDescent="0.3">
      <c r="A120" s="153" t="s">
        <v>186</v>
      </c>
      <c r="B120" s="36">
        <v>1287</v>
      </c>
      <c r="C120" s="36">
        <v>843</v>
      </c>
      <c r="D120" s="36">
        <v>2230</v>
      </c>
      <c r="E120" s="36">
        <v>7888</v>
      </c>
      <c r="F120" s="36">
        <v>3017</v>
      </c>
      <c r="G120" s="36">
        <v>1571</v>
      </c>
      <c r="H120" s="36">
        <v>2385</v>
      </c>
      <c r="I120" s="36">
        <v>2444</v>
      </c>
      <c r="J120" s="36">
        <v>4879</v>
      </c>
      <c r="K120" s="36">
        <v>721</v>
      </c>
      <c r="L120" s="36">
        <v>1615</v>
      </c>
    </row>
    <row r="121" spans="1:12" x14ac:dyDescent="0.3">
      <c r="A121" s="153" t="s">
        <v>187</v>
      </c>
      <c r="B121" s="36">
        <v>1554</v>
      </c>
      <c r="C121" s="36">
        <v>894</v>
      </c>
      <c r="D121" s="36">
        <v>2081</v>
      </c>
      <c r="E121" s="36">
        <v>7601</v>
      </c>
      <c r="F121" s="36">
        <v>2942</v>
      </c>
      <c r="G121" s="36">
        <v>1714</v>
      </c>
      <c r="H121" s="36">
        <v>2475</v>
      </c>
      <c r="I121" s="36">
        <v>2481</v>
      </c>
      <c r="J121" s="36">
        <v>4562</v>
      </c>
      <c r="K121" s="36">
        <v>805</v>
      </c>
      <c r="L121" s="36">
        <v>2313</v>
      </c>
    </row>
    <row r="122" spans="1:12" x14ac:dyDescent="0.3">
      <c r="A122" s="153" t="s">
        <v>188</v>
      </c>
      <c r="B122" s="36">
        <v>749</v>
      </c>
      <c r="C122" s="36">
        <v>714</v>
      </c>
      <c r="D122" s="36">
        <v>1361</v>
      </c>
      <c r="E122" s="36">
        <v>4417</v>
      </c>
      <c r="F122" s="36">
        <v>1475</v>
      </c>
      <c r="G122" s="36">
        <v>960</v>
      </c>
      <c r="H122" s="36">
        <v>1381</v>
      </c>
      <c r="I122" s="36">
        <v>1745</v>
      </c>
      <c r="J122" s="36">
        <v>2626</v>
      </c>
      <c r="K122" s="36">
        <v>491</v>
      </c>
      <c r="L122" s="36">
        <v>1304</v>
      </c>
    </row>
    <row r="123" spans="1:12" x14ac:dyDescent="0.3">
      <c r="A123" s="153" t="s">
        <v>189</v>
      </c>
      <c r="B123" s="36">
        <v>603</v>
      </c>
      <c r="C123" s="36">
        <v>366</v>
      </c>
      <c r="D123" s="36">
        <v>1173</v>
      </c>
      <c r="E123" s="36">
        <v>2426</v>
      </c>
      <c r="F123" s="36">
        <v>1237</v>
      </c>
      <c r="G123" s="36">
        <v>669</v>
      </c>
      <c r="H123" s="36">
        <v>689</v>
      </c>
      <c r="I123" s="36">
        <v>1280</v>
      </c>
      <c r="J123" s="36">
        <v>1721</v>
      </c>
      <c r="K123" s="36">
        <v>236</v>
      </c>
      <c r="L123" s="36">
        <v>2242</v>
      </c>
    </row>
    <row r="124" spans="1:12" x14ac:dyDescent="0.3">
      <c r="A124" s="153" t="s">
        <v>190</v>
      </c>
      <c r="B124" s="36">
        <v>440</v>
      </c>
      <c r="C124" s="36">
        <v>269</v>
      </c>
      <c r="D124" s="36">
        <v>856</v>
      </c>
      <c r="E124" s="36">
        <v>1452</v>
      </c>
      <c r="F124" s="36">
        <v>807</v>
      </c>
      <c r="G124" s="36">
        <v>376</v>
      </c>
      <c r="H124" s="36">
        <v>335</v>
      </c>
      <c r="I124" s="36">
        <v>577</v>
      </c>
      <c r="J124" s="36">
        <v>1141</v>
      </c>
      <c r="K124" s="36">
        <v>207</v>
      </c>
      <c r="L124" s="36">
        <v>1113</v>
      </c>
    </row>
    <row r="125" spans="1:12" x14ac:dyDescent="0.3">
      <c r="A125" s="153" t="s">
        <v>191</v>
      </c>
      <c r="B125" s="36">
        <v>502</v>
      </c>
      <c r="C125" s="36">
        <v>250</v>
      </c>
      <c r="D125" s="36">
        <v>1102</v>
      </c>
      <c r="E125" s="36">
        <v>1555</v>
      </c>
      <c r="F125" s="36">
        <v>638</v>
      </c>
      <c r="G125" s="36">
        <v>184</v>
      </c>
      <c r="H125" s="36">
        <v>280</v>
      </c>
      <c r="I125" s="36">
        <v>775</v>
      </c>
      <c r="J125" s="36">
        <v>1013</v>
      </c>
      <c r="K125" s="36">
        <v>136</v>
      </c>
      <c r="L125" s="36">
        <v>958</v>
      </c>
    </row>
    <row r="126" spans="1:12" x14ac:dyDescent="0.3">
      <c r="A126" s="153" t="s">
        <v>192</v>
      </c>
      <c r="B126" s="36">
        <v>1681</v>
      </c>
      <c r="C126" s="36">
        <v>1305</v>
      </c>
      <c r="D126" s="36">
        <v>1917</v>
      </c>
      <c r="E126" s="36">
        <v>4137</v>
      </c>
      <c r="F126" s="36">
        <v>2160</v>
      </c>
      <c r="G126" s="36">
        <v>1105</v>
      </c>
      <c r="H126" s="36">
        <v>1299</v>
      </c>
      <c r="I126" s="36">
        <v>2035</v>
      </c>
      <c r="J126" s="36">
        <v>2859</v>
      </c>
      <c r="K126" s="36">
        <v>966</v>
      </c>
      <c r="L126" s="36">
        <v>2169</v>
      </c>
    </row>
    <row r="127" spans="1:12" x14ac:dyDescent="0.3">
      <c r="A127" s="153" t="s">
        <v>193</v>
      </c>
      <c r="B127" s="36">
        <v>5208</v>
      </c>
      <c r="C127" s="36">
        <v>2810</v>
      </c>
      <c r="D127" s="36">
        <v>4803</v>
      </c>
      <c r="E127" s="36">
        <v>8675</v>
      </c>
      <c r="F127" s="36">
        <v>3715</v>
      </c>
      <c r="G127" s="36">
        <v>2437</v>
      </c>
      <c r="H127" s="36">
        <v>2169</v>
      </c>
      <c r="I127" s="36">
        <v>2932</v>
      </c>
      <c r="J127" s="36">
        <v>5369</v>
      </c>
      <c r="K127" s="36">
        <v>2364</v>
      </c>
      <c r="L127" s="36">
        <v>2607</v>
      </c>
    </row>
    <row r="128" spans="1:12" x14ac:dyDescent="0.3">
      <c r="A128" s="153" t="s">
        <v>194</v>
      </c>
      <c r="B128" s="36">
        <v>4608</v>
      </c>
      <c r="C128" s="36">
        <v>2840</v>
      </c>
      <c r="D128" s="36">
        <v>3848</v>
      </c>
      <c r="E128" s="36">
        <v>8024</v>
      </c>
      <c r="F128" s="36">
        <v>3102</v>
      </c>
      <c r="G128" s="36">
        <v>2489</v>
      </c>
      <c r="H128" s="36">
        <v>2211</v>
      </c>
      <c r="I128" s="36">
        <v>2498</v>
      </c>
      <c r="J128" s="36">
        <v>5638</v>
      </c>
      <c r="K128" s="36">
        <v>2326</v>
      </c>
      <c r="L128" s="36">
        <v>2492</v>
      </c>
    </row>
    <row r="129" spans="1:12" x14ac:dyDescent="0.3">
      <c r="A129" s="153" t="s">
        <v>195</v>
      </c>
      <c r="B129" s="36">
        <v>3606</v>
      </c>
      <c r="C129" s="36">
        <v>2343</v>
      </c>
      <c r="D129" s="36">
        <v>2983</v>
      </c>
      <c r="E129" s="36">
        <v>6297</v>
      </c>
      <c r="F129" s="36">
        <v>3160</v>
      </c>
      <c r="G129" s="36">
        <v>2082</v>
      </c>
      <c r="H129" s="36">
        <v>2764</v>
      </c>
      <c r="I129" s="36">
        <v>2249</v>
      </c>
      <c r="J129" s="36">
        <v>4053</v>
      </c>
      <c r="K129" s="36">
        <v>1284</v>
      </c>
      <c r="L129" s="36">
        <v>2552</v>
      </c>
    </row>
    <row r="130" spans="1:12" x14ac:dyDescent="0.3">
      <c r="A130" s="153" t="s">
        <v>196</v>
      </c>
      <c r="B130" s="36">
        <v>3039</v>
      </c>
      <c r="C130" s="36">
        <v>2132</v>
      </c>
      <c r="D130" s="36">
        <v>2663</v>
      </c>
      <c r="E130" s="36">
        <v>6037</v>
      </c>
      <c r="F130" s="36">
        <v>2503</v>
      </c>
      <c r="G130" s="36">
        <v>2122</v>
      </c>
      <c r="H130" s="36">
        <v>2959</v>
      </c>
      <c r="I130" s="36">
        <v>2450</v>
      </c>
      <c r="J130" s="36">
        <v>3460</v>
      </c>
      <c r="K130" s="36">
        <v>1575</v>
      </c>
      <c r="L130" s="36">
        <v>2611</v>
      </c>
    </row>
    <row r="131" spans="1:12" x14ac:dyDescent="0.3">
      <c r="A131" s="153" t="s">
        <v>197</v>
      </c>
      <c r="B131" s="36">
        <v>2823</v>
      </c>
      <c r="C131" s="36">
        <v>2372</v>
      </c>
      <c r="D131" s="36">
        <v>2707</v>
      </c>
      <c r="E131" s="36">
        <v>6207</v>
      </c>
      <c r="F131" s="36">
        <v>2653</v>
      </c>
      <c r="G131" s="36">
        <v>2563</v>
      </c>
      <c r="H131" s="36">
        <v>2927</v>
      </c>
      <c r="I131" s="36">
        <v>2029</v>
      </c>
      <c r="J131" s="36">
        <v>3220</v>
      </c>
      <c r="K131" s="36">
        <v>1070</v>
      </c>
      <c r="L131" s="36">
        <v>3199</v>
      </c>
    </row>
    <row r="132" spans="1:12" x14ac:dyDescent="0.3">
      <c r="A132" s="153" t="s">
        <v>198</v>
      </c>
      <c r="B132" s="36">
        <v>2641</v>
      </c>
      <c r="C132" s="36">
        <v>2529</v>
      </c>
      <c r="D132" s="36">
        <v>2537</v>
      </c>
      <c r="E132" s="36">
        <v>5256</v>
      </c>
      <c r="F132" s="36">
        <v>3328</v>
      </c>
      <c r="G132" s="36">
        <v>2330</v>
      </c>
      <c r="H132" s="36">
        <v>3166</v>
      </c>
      <c r="I132" s="36">
        <v>2654</v>
      </c>
      <c r="J132" s="36">
        <v>2935</v>
      </c>
      <c r="K132" s="36">
        <v>1756</v>
      </c>
      <c r="L132" s="36">
        <v>2536</v>
      </c>
    </row>
    <row r="133" spans="1:12" x14ac:dyDescent="0.3">
      <c r="A133" s="153" t="s">
        <v>199</v>
      </c>
      <c r="B133" s="36">
        <v>2376</v>
      </c>
      <c r="C133" s="36">
        <v>2758</v>
      </c>
      <c r="D133" s="36">
        <v>1977</v>
      </c>
      <c r="E133" s="36">
        <v>4992</v>
      </c>
      <c r="F133" s="36">
        <v>1910</v>
      </c>
      <c r="G133" s="36">
        <v>2390</v>
      </c>
      <c r="H133" s="36">
        <v>2867</v>
      </c>
      <c r="I133" s="36">
        <v>2235</v>
      </c>
      <c r="J133" s="36">
        <v>3012</v>
      </c>
      <c r="K133" s="36">
        <v>1252</v>
      </c>
      <c r="L133" s="36">
        <v>2602</v>
      </c>
    </row>
    <row r="134" spans="1:12" x14ac:dyDescent="0.3">
      <c r="A134" s="153" t="s">
        <v>200</v>
      </c>
      <c r="B134" s="36">
        <v>995</v>
      </c>
      <c r="C134" s="36">
        <v>858</v>
      </c>
      <c r="D134" s="36">
        <v>535</v>
      </c>
      <c r="E134" s="36">
        <v>2094</v>
      </c>
      <c r="F134" s="36">
        <v>867</v>
      </c>
      <c r="G134" s="36">
        <v>1100</v>
      </c>
      <c r="H134" s="36">
        <v>1338</v>
      </c>
      <c r="I134" s="36">
        <v>942</v>
      </c>
      <c r="J134" s="36">
        <v>1104</v>
      </c>
      <c r="K134" s="36">
        <v>209</v>
      </c>
      <c r="L134" s="36">
        <v>1142</v>
      </c>
    </row>
    <row r="135" spans="1:12" x14ac:dyDescent="0.3">
      <c r="A135" s="153" t="s">
        <v>201</v>
      </c>
      <c r="B135" s="36">
        <v>1260</v>
      </c>
      <c r="C135" s="36">
        <v>1242</v>
      </c>
      <c r="D135" s="36">
        <v>836</v>
      </c>
      <c r="E135" s="36">
        <v>2792</v>
      </c>
      <c r="F135" s="36">
        <v>1306</v>
      </c>
      <c r="G135" s="36">
        <v>986</v>
      </c>
      <c r="H135" s="36">
        <v>1644</v>
      </c>
      <c r="I135" s="36">
        <v>1346</v>
      </c>
      <c r="J135" s="36">
        <v>1371</v>
      </c>
      <c r="K135" s="36">
        <v>721</v>
      </c>
      <c r="L135" s="36">
        <v>1405</v>
      </c>
    </row>
    <row r="136" spans="1:12" x14ac:dyDescent="0.3">
      <c r="A136" s="153" t="s">
        <v>202</v>
      </c>
      <c r="B136" s="36">
        <v>698</v>
      </c>
      <c r="C136" s="36">
        <v>1146</v>
      </c>
      <c r="D136" s="36">
        <v>512</v>
      </c>
      <c r="E136" s="36">
        <v>1479</v>
      </c>
      <c r="F136" s="36">
        <v>493</v>
      </c>
      <c r="G136" s="36">
        <v>846</v>
      </c>
      <c r="H136" s="36">
        <v>922</v>
      </c>
      <c r="I136" s="36">
        <v>561</v>
      </c>
      <c r="J136" s="36">
        <v>797</v>
      </c>
      <c r="K136" s="36">
        <v>382</v>
      </c>
      <c r="L136" s="36">
        <v>770</v>
      </c>
    </row>
    <row r="137" spans="1:12" x14ac:dyDescent="0.3">
      <c r="A137" s="153" t="s">
        <v>203</v>
      </c>
      <c r="B137" s="36">
        <v>702</v>
      </c>
      <c r="C137" s="36">
        <v>1142</v>
      </c>
      <c r="D137" s="36">
        <v>753</v>
      </c>
      <c r="E137" s="36">
        <v>1920</v>
      </c>
      <c r="F137" s="36">
        <v>874</v>
      </c>
      <c r="G137" s="36">
        <v>1186</v>
      </c>
      <c r="H137" s="36">
        <v>1184</v>
      </c>
      <c r="I137" s="36">
        <v>797</v>
      </c>
      <c r="J137" s="36">
        <v>1070</v>
      </c>
      <c r="K137" s="36">
        <v>609</v>
      </c>
      <c r="L137" s="36">
        <v>1221</v>
      </c>
    </row>
    <row r="138" spans="1:12" x14ac:dyDescent="0.3">
      <c r="A138" s="153" t="s">
        <v>204</v>
      </c>
      <c r="B138" s="36">
        <v>807</v>
      </c>
      <c r="C138" s="36">
        <v>1641</v>
      </c>
      <c r="D138" s="36">
        <v>770</v>
      </c>
      <c r="E138" s="36">
        <v>2298</v>
      </c>
      <c r="F138" s="36">
        <v>857</v>
      </c>
      <c r="G138" s="36">
        <v>1348</v>
      </c>
      <c r="H138" s="36">
        <v>1763</v>
      </c>
      <c r="I138" s="36">
        <v>1059</v>
      </c>
      <c r="J138" s="36">
        <v>975</v>
      </c>
      <c r="K138" s="36">
        <v>492</v>
      </c>
      <c r="L138" s="36">
        <v>1463</v>
      </c>
    </row>
    <row r="139" spans="1:12" x14ac:dyDescent="0.3">
      <c r="A139" s="153" t="s">
        <v>205</v>
      </c>
      <c r="B139" s="36">
        <v>779</v>
      </c>
      <c r="C139" s="36">
        <v>1290</v>
      </c>
      <c r="D139" s="36">
        <v>469</v>
      </c>
      <c r="E139" s="36">
        <v>1189</v>
      </c>
      <c r="F139" s="36">
        <v>704</v>
      </c>
      <c r="G139" s="36">
        <v>688</v>
      </c>
      <c r="H139" s="36">
        <v>859</v>
      </c>
      <c r="I139" s="36">
        <v>716</v>
      </c>
      <c r="J139" s="36">
        <v>658</v>
      </c>
      <c r="K139" s="36">
        <v>272</v>
      </c>
      <c r="L139" s="36">
        <v>948</v>
      </c>
    </row>
    <row r="140" spans="1:12" x14ac:dyDescent="0.3">
      <c r="A140" s="153" t="s">
        <v>206</v>
      </c>
      <c r="B140" s="36">
        <v>405</v>
      </c>
      <c r="C140" s="36">
        <v>489</v>
      </c>
      <c r="D140" s="36">
        <v>182</v>
      </c>
      <c r="E140" s="36">
        <v>740</v>
      </c>
      <c r="F140" s="36">
        <v>516</v>
      </c>
      <c r="G140" s="36">
        <v>309</v>
      </c>
      <c r="H140" s="36">
        <v>752</v>
      </c>
      <c r="I140" s="36">
        <v>525</v>
      </c>
      <c r="J140" s="36">
        <v>464</v>
      </c>
      <c r="K140" s="36">
        <v>169</v>
      </c>
      <c r="L140" s="36">
        <v>641</v>
      </c>
    </row>
    <row r="141" spans="1:12" x14ac:dyDescent="0.3">
      <c r="A141" s="153" t="s">
        <v>207</v>
      </c>
      <c r="B141" s="36">
        <v>254</v>
      </c>
      <c r="C141" s="36">
        <v>771</v>
      </c>
      <c r="D141" s="36">
        <v>337</v>
      </c>
      <c r="E141" s="36">
        <v>803</v>
      </c>
      <c r="F141" s="36">
        <v>493</v>
      </c>
      <c r="G141" s="36">
        <v>986</v>
      </c>
      <c r="H141" s="36">
        <v>810</v>
      </c>
      <c r="I141" s="36">
        <v>679</v>
      </c>
      <c r="J141" s="36">
        <v>532</v>
      </c>
      <c r="K141" s="36">
        <v>557</v>
      </c>
      <c r="L141" s="36">
        <v>1080</v>
      </c>
    </row>
    <row r="143" spans="1:12" x14ac:dyDescent="0.3">
      <c r="A143" s="143" t="s">
        <v>47</v>
      </c>
      <c r="B143" s="36" t="s">
        <v>244</v>
      </c>
      <c r="C143" s="36" t="s">
        <v>245</v>
      </c>
      <c r="D143" s="36" t="s">
        <v>246</v>
      </c>
      <c r="E143" s="36" t="s">
        <v>247</v>
      </c>
      <c r="F143" s="36" t="s">
        <v>248</v>
      </c>
      <c r="G143" s="36" t="s">
        <v>249</v>
      </c>
      <c r="H143" s="36" t="s">
        <v>250</v>
      </c>
      <c r="I143" s="36" t="s">
        <v>251</v>
      </c>
      <c r="J143" s="36" t="s">
        <v>252</v>
      </c>
      <c r="K143" s="36" t="s">
        <v>253</v>
      </c>
      <c r="L143" s="36" t="s">
        <v>254</v>
      </c>
    </row>
    <row r="144" spans="1:12" x14ac:dyDescent="0.3">
      <c r="A144" s="12" t="s">
        <v>49</v>
      </c>
      <c r="B144">
        <f>SUM(B119)</f>
        <v>1945</v>
      </c>
      <c r="C144">
        <f t="shared" ref="C144:L144" si="42">SUM(C119)</f>
        <v>1122</v>
      </c>
      <c r="D144">
        <f t="shared" si="42"/>
        <v>2607</v>
      </c>
      <c r="E144">
        <f t="shared" si="42"/>
        <v>7716</v>
      </c>
      <c r="F144">
        <f t="shared" si="42"/>
        <v>3233</v>
      </c>
      <c r="G144">
        <f t="shared" si="42"/>
        <v>1761</v>
      </c>
      <c r="H144">
        <f t="shared" si="42"/>
        <v>2151</v>
      </c>
      <c r="I144">
        <f t="shared" si="42"/>
        <v>2242</v>
      </c>
      <c r="J144">
        <f t="shared" si="42"/>
        <v>4921</v>
      </c>
      <c r="K144">
        <f t="shared" si="42"/>
        <v>1085</v>
      </c>
      <c r="L144">
        <f t="shared" si="42"/>
        <v>2329</v>
      </c>
    </row>
    <row r="145" spans="1:12" x14ac:dyDescent="0.3">
      <c r="A145" s="12" t="s">
        <v>51</v>
      </c>
      <c r="B145">
        <f>SUM(B120:B121)</f>
        <v>2841</v>
      </c>
      <c r="C145">
        <f t="shared" ref="C145:L145" si="43">SUM(C120:C121)</f>
        <v>1737</v>
      </c>
      <c r="D145">
        <f t="shared" si="43"/>
        <v>4311</v>
      </c>
      <c r="E145">
        <f t="shared" si="43"/>
        <v>15489</v>
      </c>
      <c r="F145">
        <f t="shared" si="43"/>
        <v>5959</v>
      </c>
      <c r="G145">
        <f t="shared" si="43"/>
        <v>3285</v>
      </c>
      <c r="H145">
        <f t="shared" si="43"/>
        <v>4860</v>
      </c>
      <c r="I145">
        <f t="shared" si="43"/>
        <v>4925</v>
      </c>
      <c r="J145">
        <f t="shared" si="43"/>
        <v>9441</v>
      </c>
      <c r="K145">
        <f t="shared" si="43"/>
        <v>1526</v>
      </c>
      <c r="L145">
        <f t="shared" si="43"/>
        <v>3928</v>
      </c>
    </row>
    <row r="146" spans="1:12" x14ac:dyDescent="0.3">
      <c r="A146" s="12" t="s">
        <v>53</v>
      </c>
      <c r="B146">
        <f>SUM(B122:B126)</f>
        <v>3975</v>
      </c>
      <c r="C146">
        <f t="shared" ref="C146:L146" si="44">SUM(C122:C126)</f>
        <v>2904</v>
      </c>
      <c r="D146">
        <f t="shared" si="44"/>
        <v>6409</v>
      </c>
      <c r="E146">
        <f t="shared" si="44"/>
        <v>13987</v>
      </c>
      <c r="F146">
        <f t="shared" si="44"/>
        <v>6317</v>
      </c>
      <c r="G146">
        <f t="shared" si="44"/>
        <v>3294</v>
      </c>
      <c r="H146">
        <f t="shared" si="44"/>
        <v>3984</v>
      </c>
      <c r="I146">
        <f t="shared" si="44"/>
        <v>6412</v>
      </c>
      <c r="J146">
        <f t="shared" si="44"/>
        <v>9360</v>
      </c>
      <c r="K146">
        <f t="shared" si="44"/>
        <v>2036</v>
      </c>
      <c r="L146">
        <f t="shared" si="44"/>
        <v>7786</v>
      </c>
    </row>
    <row r="147" spans="1:12" x14ac:dyDescent="0.3">
      <c r="A147" s="12" t="s">
        <v>54</v>
      </c>
      <c r="B147">
        <f>SUM(B127:B130)</f>
        <v>16461</v>
      </c>
      <c r="C147">
        <f t="shared" ref="C147:L147" si="45">SUM(C127:C130)</f>
        <v>10125</v>
      </c>
      <c r="D147">
        <f t="shared" si="45"/>
        <v>14297</v>
      </c>
      <c r="E147">
        <f t="shared" si="45"/>
        <v>29033</v>
      </c>
      <c r="F147">
        <f t="shared" si="45"/>
        <v>12480</v>
      </c>
      <c r="G147">
        <f t="shared" si="45"/>
        <v>9130</v>
      </c>
      <c r="H147">
        <f t="shared" si="45"/>
        <v>10103</v>
      </c>
      <c r="I147">
        <f t="shared" si="45"/>
        <v>10129</v>
      </c>
      <c r="J147">
        <f t="shared" si="45"/>
        <v>18520</v>
      </c>
      <c r="K147">
        <f t="shared" si="45"/>
        <v>7549</v>
      </c>
      <c r="L147">
        <f t="shared" si="45"/>
        <v>10262</v>
      </c>
    </row>
    <row r="148" spans="1:12" x14ac:dyDescent="0.3">
      <c r="A148" s="12" t="s">
        <v>55</v>
      </c>
      <c r="B148">
        <f>SUM(B131:B135)</f>
        <v>10095</v>
      </c>
      <c r="C148">
        <f t="shared" ref="C148:L148" si="46">SUM(C131:C135)</f>
        <v>9759</v>
      </c>
      <c r="D148">
        <f t="shared" si="46"/>
        <v>8592</v>
      </c>
      <c r="E148">
        <f t="shared" si="46"/>
        <v>21341</v>
      </c>
      <c r="F148">
        <f t="shared" si="46"/>
        <v>10064</v>
      </c>
      <c r="G148">
        <f t="shared" si="46"/>
        <v>9369</v>
      </c>
      <c r="H148">
        <f t="shared" si="46"/>
        <v>11942</v>
      </c>
      <c r="I148">
        <f t="shared" si="46"/>
        <v>9206</v>
      </c>
      <c r="J148">
        <f t="shared" si="46"/>
        <v>11642</v>
      </c>
      <c r="K148">
        <f t="shared" si="46"/>
        <v>5008</v>
      </c>
      <c r="L148">
        <f t="shared" si="46"/>
        <v>10884</v>
      </c>
    </row>
    <row r="149" spans="1:12" x14ac:dyDescent="0.3">
      <c r="A149" s="12" t="s">
        <v>56</v>
      </c>
      <c r="B149">
        <f>SUM(B136:B138)</f>
        <v>2207</v>
      </c>
      <c r="C149">
        <f t="shared" ref="C149:L149" si="47">SUM(C136:C138)</f>
        <v>3929</v>
      </c>
      <c r="D149">
        <f t="shared" si="47"/>
        <v>2035</v>
      </c>
      <c r="E149">
        <f t="shared" si="47"/>
        <v>5697</v>
      </c>
      <c r="F149">
        <f t="shared" si="47"/>
        <v>2224</v>
      </c>
      <c r="G149">
        <f t="shared" si="47"/>
        <v>3380</v>
      </c>
      <c r="H149">
        <f t="shared" si="47"/>
        <v>3869</v>
      </c>
      <c r="I149">
        <f t="shared" si="47"/>
        <v>2417</v>
      </c>
      <c r="J149">
        <f t="shared" si="47"/>
        <v>2842</v>
      </c>
      <c r="K149">
        <f t="shared" si="47"/>
        <v>1483</v>
      </c>
      <c r="L149">
        <f t="shared" si="47"/>
        <v>3454</v>
      </c>
    </row>
    <row r="150" spans="1:12" x14ac:dyDescent="0.3">
      <c r="A150" s="12" t="s">
        <v>57</v>
      </c>
      <c r="B150">
        <f>SUM(B139:B141)</f>
        <v>1438</v>
      </c>
      <c r="C150">
        <f t="shared" ref="C150:L150" si="48">SUM(C139:C141)</f>
        <v>2550</v>
      </c>
      <c r="D150">
        <f t="shared" si="48"/>
        <v>988</v>
      </c>
      <c r="E150">
        <f t="shared" si="48"/>
        <v>2732</v>
      </c>
      <c r="F150">
        <f t="shared" si="48"/>
        <v>1713</v>
      </c>
      <c r="G150">
        <f t="shared" si="48"/>
        <v>1983</v>
      </c>
      <c r="H150">
        <f t="shared" si="48"/>
        <v>2421</v>
      </c>
      <c r="I150">
        <f t="shared" si="48"/>
        <v>1920</v>
      </c>
      <c r="J150">
        <f t="shared" si="48"/>
        <v>1654</v>
      </c>
      <c r="K150">
        <f t="shared" si="48"/>
        <v>998</v>
      </c>
      <c r="L150">
        <f t="shared" si="48"/>
        <v>2669</v>
      </c>
    </row>
    <row r="151" spans="1:12" x14ac:dyDescent="0.3">
      <c r="A151" s="143" t="s">
        <v>83</v>
      </c>
      <c r="B151" s="36">
        <f>SUM(B144:B150)</f>
        <v>38962</v>
      </c>
      <c r="C151" s="36">
        <f t="shared" ref="C151" si="49">SUM(C144:C150)</f>
        <v>32126</v>
      </c>
      <c r="D151" s="36">
        <f t="shared" ref="D151" si="50">SUM(D144:D150)</f>
        <v>39239</v>
      </c>
      <c r="E151" s="36">
        <f t="shared" ref="E151" si="51">SUM(E144:E150)</f>
        <v>95995</v>
      </c>
      <c r="F151" s="36">
        <f t="shared" ref="F151" si="52">SUM(F144:F150)</f>
        <v>41990</v>
      </c>
      <c r="G151" s="36">
        <f t="shared" ref="G151" si="53">SUM(G144:G150)</f>
        <v>32202</v>
      </c>
      <c r="H151" s="36">
        <f t="shared" ref="H151" si="54">SUM(H144:H150)</f>
        <v>39330</v>
      </c>
      <c r="I151" s="36">
        <f t="shared" ref="I151" si="55">SUM(I144:I150)</f>
        <v>37251</v>
      </c>
      <c r="J151" s="36">
        <f t="shared" ref="J151" si="56">SUM(J144:J150)</f>
        <v>58380</v>
      </c>
      <c r="K151" s="36">
        <f t="shared" ref="K151" si="57">SUM(K144:K150)</f>
        <v>19685</v>
      </c>
      <c r="L151" s="36">
        <f t="shared" ref="L151" si="58">SUM(L144:L150)</f>
        <v>41312</v>
      </c>
    </row>
    <row r="152" spans="1:12" x14ac:dyDescent="0.3">
      <c r="A152" s="143"/>
    </row>
    <row r="154" spans="1:12" x14ac:dyDescent="0.3">
      <c r="A154" s="149" t="s">
        <v>255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x14ac:dyDescent="0.3">
      <c r="A155" s="152"/>
      <c r="B155" s="70">
        <v>90802</v>
      </c>
      <c r="C155" s="70">
        <v>90803</v>
      </c>
      <c r="D155" s="70">
        <v>90804</v>
      </c>
      <c r="E155" s="70">
        <v>90805</v>
      </c>
      <c r="F155" s="70">
        <v>90806</v>
      </c>
      <c r="G155" s="70">
        <v>90807</v>
      </c>
      <c r="H155" s="70">
        <v>90808</v>
      </c>
      <c r="I155" s="70">
        <v>90810</v>
      </c>
      <c r="J155" s="70">
        <v>90813</v>
      </c>
      <c r="K155" s="70">
        <v>90814</v>
      </c>
      <c r="L155" s="70">
        <v>90815</v>
      </c>
    </row>
    <row r="156" spans="1:12" x14ac:dyDescent="0.3">
      <c r="A156" s="152" t="s">
        <v>83</v>
      </c>
      <c r="B156" s="80">
        <v>39165</v>
      </c>
      <c r="C156" s="80">
        <v>32241</v>
      </c>
      <c r="D156" s="80">
        <v>38151</v>
      </c>
      <c r="E156" s="80">
        <v>95094</v>
      </c>
      <c r="F156" s="80">
        <v>41280</v>
      </c>
      <c r="G156" s="80">
        <v>32699</v>
      </c>
      <c r="H156" s="80">
        <v>39602</v>
      </c>
      <c r="I156" s="80">
        <v>36657</v>
      </c>
      <c r="J156" s="80">
        <v>56726</v>
      </c>
      <c r="K156" s="80">
        <v>18714</v>
      </c>
      <c r="L156" s="80">
        <v>41854</v>
      </c>
    </row>
    <row r="157" spans="1:12" x14ac:dyDescent="0.3">
      <c r="A157" s="153" t="s">
        <v>185</v>
      </c>
      <c r="B157" s="36">
        <v>1534</v>
      </c>
      <c r="C157" s="36">
        <v>1219</v>
      </c>
      <c r="D157" s="36">
        <v>2363</v>
      </c>
      <c r="E157" s="36">
        <v>7258</v>
      </c>
      <c r="F157" s="36">
        <v>2951</v>
      </c>
      <c r="G157" s="36">
        <v>1944</v>
      </c>
      <c r="H157" s="36">
        <v>2136</v>
      </c>
      <c r="I157" s="36">
        <v>2115</v>
      </c>
      <c r="J157" s="36">
        <v>4466</v>
      </c>
      <c r="K157" s="36">
        <v>1231</v>
      </c>
      <c r="L157" s="36">
        <v>2499</v>
      </c>
    </row>
    <row r="158" spans="1:12" x14ac:dyDescent="0.3">
      <c r="A158" s="153" t="s">
        <v>186</v>
      </c>
      <c r="B158" s="36">
        <v>1186</v>
      </c>
      <c r="C158" s="36">
        <v>712</v>
      </c>
      <c r="D158" s="36">
        <v>1975</v>
      </c>
      <c r="E158" s="36">
        <v>7385</v>
      </c>
      <c r="F158" s="36">
        <v>2729</v>
      </c>
      <c r="G158" s="36">
        <v>1556</v>
      </c>
      <c r="H158" s="36">
        <v>2510</v>
      </c>
      <c r="I158" s="36">
        <v>2485</v>
      </c>
      <c r="J158" s="36">
        <v>4446</v>
      </c>
      <c r="K158" s="36">
        <v>830</v>
      </c>
      <c r="L158" s="36">
        <v>1549</v>
      </c>
    </row>
    <row r="159" spans="1:12" x14ac:dyDescent="0.3">
      <c r="A159" s="153" t="s">
        <v>187</v>
      </c>
      <c r="B159" s="36">
        <v>1539</v>
      </c>
      <c r="C159" s="36">
        <v>908</v>
      </c>
      <c r="D159" s="36">
        <v>1977</v>
      </c>
      <c r="E159" s="36">
        <v>7041</v>
      </c>
      <c r="F159" s="36">
        <v>3072</v>
      </c>
      <c r="G159" s="36">
        <v>2081</v>
      </c>
      <c r="H159" s="36">
        <v>2623</v>
      </c>
      <c r="I159" s="36">
        <v>2316</v>
      </c>
      <c r="J159" s="36">
        <v>4396</v>
      </c>
      <c r="K159" s="36">
        <v>828</v>
      </c>
      <c r="L159" s="36">
        <v>2830</v>
      </c>
    </row>
    <row r="160" spans="1:12" x14ac:dyDescent="0.3">
      <c r="A160" s="153" t="s">
        <v>188</v>
      </c>
      <c r="B160" s="36">
        <v>970</v>
      </c>
      <c r="C160" s="36">
        <v>794</v>
      </c>
      <c r="D160" s="36">
        <v>1063</v>
      </c>
      <c r="E160" s="36">
        <v>4195</v>
      </c>
      <c r="F160" s="36">
        <v>1190</v>
      </c>
      <c r="G160" s="36">
        <v>1104</v>
      </c>
      <c r="H160" s="36">
        <v>1227</v>
      </c>
      <c r="I160" s="36">
        <v>1595</v>
      </c>
      <c r="J160" s="36">
        <v>2483</v>
      </c>
      <c r="K160" s="36">
        <v>301</v>
      </c>
      <c r="L160" s="36">
        <v>1396</v>
      </c>
    </row>
    <row r="161" spans="1:12" x14ac:dyDescent="0.3">
      <c r="A161" s="153" t="s">
        <v>189</v>
      </c>
      <c r="B161" s="36">
        <v>654</v>
      </c>
      <c r="C161" s="36">
        <v>619</v>
      </c>
      <c r="D161" s="36">
        <v>1233</v>
      </c>
      <c r="E161" s="36">
        <v>2746</v>
      </c>
      <c r="F161" s="36">
        <v>1138</v>
      </c>
      <c r="G161" s="36">
        <v>756</v>
      </c>
      <c r="H161" s="36">
        <v>584</v>
      </c>
      <c r="I161" s="36">
        <v>1288</v>
      </c>
      <c r="J161" s="36">
        <v>1838</v>
      </c>
      <c r="K161" s="36">
        <v>156</v>
      </c>
      <c r="L161" s="36">
        <v>2136</v>
      </c>
    </row>
    <row r="162" spans="1:12" x14ac:dyDescent="0.3">
      <c r="A162" s="153" t="s">
        <v>190</v>
      </c>
      <c r="B162" s="36">
        <v>361</v>
      </c>
      <c r="C162" s="36">
        <v>198</v>
      </c>
      <c r="D162" s="36">
        <v>687</v>
      </c>
      <c r="E162" s="36">
        <v>1530</v>
      </c>
      <c r="F162" s="36">
        <v>906</v>
      </c>
      <c r="G162" s="36">
        <v>335</v>
      </c>
      <c r="H162" s="36">
        <v>248</v>
      </c>
      <c r="I162" s="36">
        <v>472</v>
      </c>
      <c r="J162" s="36">
        <v>969</v>
      </c>
      <c r="K162" s="36">
        <v>74</v>
      </c>
      <c r="L162" s="36">
        <v>1042</v>
      </c>
    </row>
    <row r="163" spans="1:12" x14ac:dyDescent="0.3">
      <c r="A163" s="153" t="s">
        <v>191</v>
      </c>
      <c r="B163" s="36">
        <v>477</v>
      </c>
      <c r="C163" s="36">
        <v>301</v>
      </c>
      <c r="D163" s="36">
        <v>939</v>
      </c>
      <c r="E163" s="36">
        <v>1619</v>
      </c>
      <c r="F163" s="36">
        <v>576</v>
      </c>
      <c r="G163" s="36">
        <v>284</v>
      </c>
      <c r="H163" s="36">
        <v>184</v>
      </c>
      <c r="I163" s="36">
        <v>866</v>
      </c>
      <c r="J163" s="36">
        <v>1207</v>
      </c>
      <c r="K163" s="36">
        <v>59</v>
      </c>
      <c r="L163" s="36">
        <v>956</v>
      </c>
    </row>
    <row r="164" spans="1:12" x14ac:dyDescent="0.3">
      <c r="A164" s="153" t="s">
        <v>192</v>
      </c>
      <c r="B164" s="36">
        <v>2076</v>
      </c>
      <c r="C164" s="36">
        <v>1154</v>
      </c>
      <c r="D164" s="36">
        <v>1833</v>
      </c>
      <c r="E164" s="36">
        <v>4138</v>
      </c>
      <c r="F164" s="36">
        <v>1994</v>
      </c>
      <c r="G164" s="36">
        <v>1059</v>
      </c>
      <c r="H164" s="36">
        <v>1232</v>
      </c>
      <c r="I164" s="36">
        <v>1674</v>
      </c>
      <c r="J164" s="36">
        <v>2712</v>
      </c>
      <c r="K164" s="36">
        <v>584</v>
      </c>
      <c r="L164" s="36">
        <v>2094</v>
      </c>
    </row>
    <row r="165" spans="1:12" x14ac:dyDescent="0.3">
      <c r="A165" s="153" t="s">
        <v>193</v>
      </c>
      <c r="B165" s="36">
        <v>5587</v>
      </c>
      <c r="C165" s="36">
        <v>2548</v>
      </c>
      <c r="D165" s="36">
        <v>4688</v>
      </c>
      <c r="E165" s="36">
        <v>8958</v>
      </c>
      <c r="F165" s="36">
        <v>3778</v>
      </c>
      <c r="G165" s="36">
        <v>2335</v>
      </c>
      <c r="H165" s="36">
        <v>2182</v>
      </c>
      <c r="I165" s="36">
        <v>3057</v>
      </c>
      <c r="J165" s="36">
        <v>5488</v>
      </c>
      <c r="K165" s="36">
        <v>2103</v>
      </c>
      <c r="L165" s="36">
        <v>2863</v>
      </c>
    </row>
    <row r="166" spans="1:12" x14ac:dyDescent="0.3">
      <c r="A166" s="153" t="s">
        <v>194</v>
      </c>
      <c r="B166" s="36">
        <v>4675</v>
      </c>
      <c r="C166" s="36">
        <v>2702</v>
      </c>
      <c r="D166" s="36">
        <v>4078</v>
      </c>
      <c r="E166" s="36">
        <v>7470</v>
      </c>
      <c r="F166" s="36">
        <v>3060</v>
      </c>
      <c r="G166" s="36">
        <v>2318</v>
      </c>
      <c r="H166" s="36">
        <v>2443</v>
      </c>
      <c r="I166" s="36">
        <v>2553</v>
      </c>
      <c r="J166" s="36">
        <v>5191</v>
      </c>
      <c r="K166" s="36">
        <v>2103</v>
      </c>
      <c r="L166" s="36">
        <v>2537</v>
      </c>
    </row>
    <row r="167" spans="1:12" x14ac:dyDescent="0.3">
      <c r="A167" s="153" t="s">
        <v>195</v>
      </c>
      <c r="B167" s="36">
        <v>3586</v>
      </c>
      <c r="C167" s="36">
        <v>2530</v>
      </c>
      <c r="D167" s="36">
        <v>2744</v>
      </c>
      <c r="E167" s="36">
        <v>6289</v>
      </c>
      <c r="F167" s="36">
        <v>3152</v>
      </c>
      <c r="G167" s="36">
        <v>2225</v>
      </c>
      <c r="H167" s="36">
        <v>2800</v>
      </c>
      <c r="I167" s="36">
        <v>2536</v>
      </c>
      <c r="J167" s="36">
        <v>3676</v>
      </c>
      <c r="K167" s="36">
        <v>2227</v>
      </c>
      <c r="L167" s="36">
        <v>2797</v>
      </c>
    </row>
    <row r="168" spans="1:12" x14ac:dyDescent="0.3">
      <c r="A168" s="153" t="s">
        <v>196</v>
      </c>
      <c r="B168" s="36">
        <v>3164</v>
      </c>
      <c r="C168" s="36">
        <v>2022</v>
      </c>
      <c r="D168" s="36">
        <v>2546</v>
      </c>
      <c r="E168" s="36">
        <v>6167</v>
      </c>
      <c r="F168" s="36">
        <v>2739</v>
      </c>
      <c r="G168" s="36">
        <v>2088</v>
      </c>
      <c r="H168" s="36">
        <v>2747</v>
      </c>
      <c r="I168" s="36">
        <v>2219</v>
      </c>
      <c r="J168" s="36">
        <v>3555</v>
      </c>
      <c r="K168" s="36">
        <v>1254</v>
      </c>
      <c r="L168" s="36">
        <v>2419</v>
      </c>
    </row>
    <row r="169" spans="1:12" x14ac:dyDescent="0.3">
      <c r="A169" s="153" t="s">
        <v>197</v>
      </c>
      <c r="B169" s="36">
        <v>2776</v>
      </c>
      <c r="C169" s="36">
        <v>2696</v>
      </c>
      <c r="D169" s="36">
        <v>2573</v>
      </c>
      <c r="E169" s="36">
        <v>5662</v>
      </c>
      <c r="F169" s="36">
        <v>2633</v>
      </c>
      <c r="G169" s="36">
        <v>3003</v>
      </c>
      <c r="H169" s="36">
        <v>2829</v>
      </c>
      <c r="I169" s="36">
        <v>1831</v>
      </c>
      <c r="J169" s="36">
        <v>3229</v>
      </c>
      <c r="K169" s="36">
        <v>870</v>
      </c>
      <c r="L169" s="36">
        <v>2919</v>
      </c>
    </row>
    <row r="170" spans="1:12" x14ac:dyDescent="0.3">
      <c r="A170" s="153" t="s">
        <v>198</v>
      </c>
      <c r="B170" s="36">
        <v>2419</v>
      </c>
      <c r="C170" s="36">
        <v>2374</v>
      </c>
      <c r="D170" s="36">
        <v>3020</v>
      </c>
      <c r="E170" s="36">
        <v>5310</v>
      </c>
      <c r="F170" s="36">
        <v>3028</v>
      </c>
      <c r="G170" s="36">
        <v>2060</v>
      </c>
      <c r="H170" s="36">
        <v>2914</v>
      </c>
      <c r="I170" s="36">
        <v>2773</v>
      </c>
      <c r="J170" s="36">
        <v>2938</v>
      </c>
      <c r="K170" s="36">
        <v>1499</v>
      </c>
      <c r="L170" s="36">
        <v>2338</v>
      </c>
    </row>
    <row r="171" spans="1:12" x14ac:dyDescent="0.3">
      <c r="A171" s="153" t="s">
        <v>199</v>
      </c>
      <c r="B171" s="36">
        <v>2317</v>
      </c>
      <c r="C171" s="36">
        <v>2892</v>
      </c>
      <c r="D171" s="36">
        <v>1746</v>
      </c>
      <c r="E171" s="36">
        <v>5050</v>
      </c>
      <c r="F171" s="36">
        <v>1999</v>
      </c>
      <c r="G171" s="36">
        <v>2405</v>
      </c>
      <c r="H171" s="36">
        <v>2628</v>
      </c>
      <c r="I171" s="36">
        <v>2255</v>
      </c>
      <c r="J171" s="36">
        <v>3331</v>
      </c>
      <c r="K171" s="36">
        <v>1200</v>
      </c>
      <c r="L171" s="36">
        <v>2952</v>
      </c>
    </row>
    <row r="172" spans="1:12" x14ac:dyDescent="0.3">
      <c r="A172" s="153" t="s">
        <v>200</v>
      </c>
      <c r="B172" s="36">
        <v>1048</v>
      </c>
      <c r="C172" s="36">
        <v>820</v>
      </c>
      <c r="D172" s="36">
        <v>665</v>
      </c>
      <c r="E172" s="36">
        <v>2074</v>
      </c>
      <c r="F172" s="36">
        <v>961</v>
      </c>
      <c r="G172" s="36">
        <v>1019</v>
      </c>
      <c r="H172" s="36">
        <v>1307</v>
      </c>
      <c r="I172" s="36">
        <v>921</v>
      </c>
      <c r="J172" s="36">
        <v>1201</v>
      </c>
      <c r="K172" s="36">
        <v>239</v>
      </c>
      <c r="L172" s="36">
        <v>965</v>
      </c>
    </row>
    <row r="173" spans="1:12" x14ac:dyDescent="0.3">
      <c r="A173" s="153" t="s">
        <v>201</v>
      </c>
      <c r="B173" s="36">
        <v>1285</v>
      </c>
      <c r="C173" s="36">
        <v>1395</v>
      </c>
      <c r="D173" s="36">
        <v>814</v>
      </c>
      <c r="E173" s="36">
        <v>3355</v>
      </c>
      <c r="F173" s="36">
        <v>1347</v>
      </c>
      <c r="G173" s="36">
        <v>989</v>
      </c>
      <c r="H173" s="36">
        <v>1597</v>
      </c>
      <c r="I173" s="36">
        <v>1481</v>
      </c>
      <c r="J173" s="36">
        <v>1405</v>
      </c>
      <c r="K173" s="36">
        <v>787</v>
      </c>
      <c r="L173" s="36">
        <v>1544</v>
      </c>
    </row>
    <row r="174" spans="1:12" x14ac:dyDescent="0.3">
      <c r="A174" s="153" t="s">
        <v>202</v>
      </c>
      <c r="B174" s="36">
        <v>848</v>
      </c>
      <c r="C174" s="36">
        <v>962</v>
      </c>
      <c r="D174" s="36">
        <v>583</v>
      </c>
      <c r="E174" s="36">
        <v>1375</v>
      </c>
      <c r="F174" s="36">
        <v>491</v>
      </c>
      <c r="G174" s="36">
        <v>803</v>
      </c>
      <c r="H174" s="36">
        <v>1029</v>
      </c>
      <c r="I174" s="36">
        <v>622</v>
      </c>
      <c r="J174" s="36">
        <v>799</v>
      </c>
      <c r="K174" s="36">
        <v>364</v>
      </c>
      <c r="L174" s="36">
        <v>712</v>
      </c>
    </row>
    <row r="175" spans="1:12" x14ac:dyDescent="0.3">
      <c r="A175" s="153" t="s">
        <v>203</v>
      </c>
      <c r="B175" s="36">
        <v>635</v>
      </c>
      <c r="C175" s="36">
        <v>1287</v>
      </c>
      <c r="D175" s="36">
        <v>831</v>
      </c>
      <c r="E175" s="36">
        <v>2229</v>
      </c>
      <c r="F175" s="36">
        <v>775</v>
      </c>
      <c r="G175" s="36">
        <v>1052</v>
      </c>
      <c r="H175" s="36">
        <v>1352</v>
      </c>
      <c r="I175" s="36">
        <v>731</v>
      </c>
      <c r="J175" s="36">
        <v>1104</v>
      </c>
      <c r="K175" s="36">
        <v>550</v>
      </c>
      <c r="L175" s="36">
        <v>1117</v>
      </c>
    </row>
    <row r="176" spans="1:12" x14ac:dyDescent="0.3">
      <c r="A176" s="153" t="s">
        <v>204</v>
      </c>
      <c r="B176" s="36">
        <v>803</v>
      </c>
      <c r="C176" s="36">
        <v>1694</v>
      </c>
      <c r="D176" s="36">
        <v>853</v>
      </c>
      <c r="E176" s="36">
        <v>2304</v>
      </c>
      <c r="F176" s="36">
        <v>1205</v>
      </c>
      <c r="G176" s="36">
        <v>1165</v>
      </c>
      <c r="H176" s="36">
        <v>2088</v>
      </c>
      <c r="I176" s="36">
        <v>1137</v>
      </c>
      <c r="J176" s="36">
        <v>936</v>
      </c>
      <c r="K176" s="36">
        <v>498</v>
      </c>
      <c r="L176" s="36">
        <v>1516</v>
      </c>
    </row>
    <row r="177" spans="1:12" x14ac:dyDescent="0.3">
      <c r="A177" s="153" t="s">
        <v>205</v>
      </c>
      <c r="B177" s="36">
        <v>672</v>
      </c>
      <c r="C177" s="36">
        <v>1345</v>
      </c>
      <c r="D177" s="36">
        <v>436</v>
      </c>
      <c r="E177" s="36">
        <v>1200</v>
      </c>
      <c r="F177" s="36">
        <v>590</v>
      </c>
      <c r="G177" s="36">
        <v>789</v>
      </c>
      <c r="H177" s="36">
        <v>941</v>
      </c>
      <c r="I177" s="36">
        <v>660</v>
      </c>
      <c r="J177" s="36">
        <v>480</v>
      </c>
      <c r="K177" s="36">
        <v>264</v>
      </c>
      <c r="L177" s="36">
        <v>935</v>
      </c>
    </row>
    <row r="178" spans="1:12" x14ac:dyDescent="0.3">
      <c r="A178" s="153" t="s">
        <v>206</v>
      </c>
      <c r="B178" s="36">
        <v>328</v>
      </c>
      <c r="C178" s="36">
        <v>474</v>
      </c>
      <c r="D178" s="36">
        <v>194</v>
      </c>
      <c r="E178" s="36">
        <v>871</v>
      </c>
      <c r="F178" s="36">
        <v>353</v>
      </c>
      <c r="G178" s="36">
        <v>330</v>
      </c>
      <c r="H178" s="36">
        <v>738</v>
      </c>
      <c r="I178" s="36">
        <v>426</v>
      </c>
      <c r="J178" s="36">
        <v>341</v>
      </c>
      <c r="K178" s="36">
        <v>169</v>
      </c>
      <c r="L178" s="36">
        <v>600</v>
      </c>
    </row>
    <row r="179" spans="1:12" x14ac:dyDescent="0.3">
      <c r="A179" s="153" t="s">
        <v>207</v>
      </c>
      <c r="B179" s="36">
        <v>225</v>
      </c>
      <c r="C179" s="36">
        <v>595</v>
      </c>
      <c r="D179" s="36">
        <v>310</v>
      </c>
      <c r="E179" s="36">
        <v>868</v>
      </c>
      <c r="F179" s="36">
        <v>613</v>
      </c>
      <c r="G179" s="36">
        <v>999</v>
      </c>
      <c r="H179" s="36">
        <v>1263</v>
      </c>
      <c r="I179" s="36">
        <v>644</v>
      </c>
      <c r="J179" s="36">
        <v>535</v>
      </c>
      <c r="K179" s="36">
        <v>524</v>
      </c>
      <c r="L179" s="36">
        <v>1138</v>
      </c>
    </row>
    <row r="181" spans="1:12" x14ac:dyDescent="0.3">
      <c r="A181" s="143" t="s">
        <v>47</v>
      </c>
      <c r="B181" s="36" t="s">
        <v>256</v>
      </c>
      <c r="C181" s="36" t="s">
        <v>257</v>
      </c>
      <c r="D181" s="36" t="s">
        <v>258</v>
      </c>
      <c r="E181" s="36" t="s">
        <v>259</v>
      </c>
      <c r="F181" s="36" t="s">
        <v>260</v>
      </c>
      <c r="G181" s="36" t="s">
        <v>261</v>
      </c>
      <c r="H181" s="36" t="s">
        <v>262</v>
      </c>
      <c r="I181" s="36" t="s">
        <v>263</v>
      </c>
      <c r="J181" s="36" t="s">
        <v>264</v>
      </c>
      <c r="K181" s="36" t="s">
        <v>265</v>
      </c>
      <c r="L181" s="36" t="s">
        <v>266</v>
      </c>
    </row>
    <row r="182" spans="1:12" x14ac:dyDescent="0.3">
      <c r="A182" s="12" t="s">
        <v>49</v>
      </c>
      <c r="B182">
        <f>SUM(B157)</f>
        <v>1534</v>
      </c>
      <c r="C182">
        <f t="shared" ref="C182:L182" si="59">SUM(C157)</f>
        <v>1219</v>
      </c>
      <c r="D182">
        <f t="shared" si="59"/>
        <v>2363</v>
      </c>
      <c r="E182">
        <f t="shared" si="59"/>
        <v>7258</v>
      </c>
      <c r="F182">
        <f t="shared" si="59"/>
        <v>2951</v>
      </c>
      <c r="G182">
        <f t="shared" si="59"/>
        <v>1944</v>
      </c>
      <c r="H182">
        <f t="shared" si="59"/>
        <v>2136</v>
      </c>
      <c r="I182">
        <f t="shared" si="59"/>
        <v>2115</v>
      </c>
      <c r="J182">
        <f t="shared" si="59"/>
        <v>4466</v>
      </c>
      <c r="K182">
        <f t="shared" si="59"/>
        <v>1231</v>
      </c>
      <c r="L182">
        <f t="shared" si="59"/>
        <v>2499</v>
      </c>
    </row>
    <row r="183" spans="1:12" x14ac:dyDescent="0.3">
      <c r="A183" s="12" t="s">
        <v>51</v>
      </c>
      <c r="B183">
        <f>SUM(B158:B159)</f>
        <v>2725</v>
      </c>
      <c r="C183">
        <f t="shared" ref="C183:L183" si="60">SUM(C158:C159)</f>
        <v>1620</v>
      </c>
      <c r="D183">
        <f t="shared" si="60"/>
        <v>3952</v>
      </c>
      <c r="E183">
        <f t="shared" si="60"/>
        <v>14426</v>
      </c>
      <c r="F183">
        <f t="shared" si="60"/>
        <v>5801</v>
      </c>
      <c r="G183">
        <f t="shared" si="60"/>
        <v>3637</v>
      </c>
      <c r="H183">
        <f t="shared" si="60"/>
        <v>5133</v>
      </c>
      <c r="I183">
        <f t="shared" si="60"/>
        <v>4801</v>
      </c>
      <c r="J183">
        <f t="shared" si="60"/>
        <v>8842</v>
      </c>
      <c r="K183">
        <f t="shared" si="60"/>
        <v>1658</v>
      </c>
      <c r="L183">
        <f t="shared" si="60"/>
        <v>4379</v>
      </c>
    </row>
    <row r="184" spans="1:12" x14ac:dyDescent="0.3">
      <c r="A184" s="12" t="s">
        <v>53</v>
      </c>
      <c r="B184">
        <f>SUM(B160:B164)</f>
        <v>4538</v>
      </c>
      <c r="C184">
        <f t="shared" ref="C184:L184" si="61">SUM(C160:C164)</f>
        <v>3066</v>
      </c>
      <c r="D184">
        <f t="shared" si="61"/>
        <v>5755</v>
      </c>
      <c r="E184">
        <f t="shared" si="61"/>
        <v>14228</v>
      </c>
      <c r="F184">
        <f t="shared" si="61"/>
        <v>5804</v>
      </c>
      <c r="G184">
        <f t="shared" si="61"/>
        <v>3538</v>
      </c>
      <c r="H184">
        <f t="shared" si="61"/>
        <v>3475</v>
      </c>
      <c r="I184">
        <f t="shared" si="61"/>
        <v>5895</v>
      </c>
      <c r="J184">
        <f t="shared" si="61"/>
        <v>9209</v>
      </c>
      <c r="K184">
        <f t="shared" si="61"/>
        <v>1174</v>
      </c>
      <c r="L184">
        <f t="shared" si="61"/>
        <v>7624</v>
      </c>
    </row>
    <row r="185" spans="1:12" x14ac:dyDescent="0.3">
      <c r="A185" s="12" t="s">
        <v>54</v>
      </c>
      <c r="B185">
        <f>SUM(B165:B168)</f>
        <v>17012</v>
      </c>
      <c r="C185">
        <f t="shared" ref="C185:L185" si="62">SUM(C165:C168)</f>
        <v>9802</v>
      </c>
      <c r="D185">
        <f t="shared" si="62"/>
        <v>14056</v>
      </c>
      <c r="E185">
        <f t="shared" si="62"/>
        <v>28884</v>
      </c>
      <c r="F185">
        <f t="shared" si="62"/>
        <v>12729</v>
      </c>
      <c r="G185">
        <f t="shared" si="62"/>
        <v>8966</v>
      </c>
      <c r="H185">
        <f t="shared" si="62"/>
        <v>10172</v>
      </c>
      <c r="I185">
        <f t="shared" si="62"/>
        <v>10365</v>
      </c>
      <c r="J185">
        <f t="shared" si="62"/>
        <v>17910</v>
      </c>
      <c r="K185">
        <f t="shared" si="62"/>
        <v>7687</v>
      </c>
      <c r="L185">
        <f t="shared" si="62"/>
        <v>10616</v>
      </c>
    </row>
    <row r="186" spans="1:12" x14ac:dyDescent="0.3">
      <c r="A186" s="12" t="s">
        <v>55</v>
      </c>
      <c r="B186">
        <f>SUM(B169:B173)</f>
        <v>9845</v>
      </c>
      <c r="C186">
        <f t="shared" ref="C186:L186" si="63">SUM(C169:C173)</f>
        <v>10177</v>
      </c>
      <c r="D186">
        <f t="shared" si="63"/>
        <v>8818</v>
      </c>
      <c r="E186">
        <f t="shared" si="63"/>
        <v>21451</v>
      </c>
      <c r="F186">
        <f t="shared" si="63"/>
        <v>9968</v>
      </c>
      <c r="G186">
        <f t="shared" si="63"/>
        <v>9476</v>
      </c>
      <c r="H186">
        <f t="shared" si="63"/>
        <v>11275</v>
      </c>
      <c r="I186">
        <f t="shared" si="63"/>
        <v>9261</v>
      </c>
      <c r="J186">
        <f t="shared" si="63"/>
        <v>12104</v>
      </c>
      <c r="K186">
        <f t="shared" si="63"/>
        <v>4595</v>
      </c>
      <c r="L186">
        <f t="shared" si="63"/>
        <v>10718</v>
      </c>
    </row>
    <row r="187" spans="1:12" x14ac:dyDescent="0.3">
      <c r="A187" s="12" t="s">
        <v>56</v>
      </c>
      <c r="B187">
        <f>SUM(B174:B176)</f>
        <v>2286</v>
      </c>
      <c r="C187">
        <f t="shared" ref="C187:L187" si="64">SUM(C174:C176)</f>
        <v>3943</v>
      </c>
      <c r="D187">
        <f t="shared" si="64"/>
        <v>2267</v>
      </c>
      <c r="E187">
        <f t="shared" si="64"/>
        <v>5908</v>
      </c>
      <c r="F187">
        <f t="shared" si="64"/>
        <v>2471</v>
      </c>
      <c r="G187">
        <f t="shared" si="64"/>
        <v>3020</v>
      </c>
      <c r="H187">
        <f t="shared" si="64"/>
        <v>4469</v>
      </c>
      <c r="I187">
        <f t="shared" si="64"/>
        <v>2490</v>
      </c>
      <c r="J187">
        <f t="shared" si="64"/>
        <v>2839</v>
      </c>
      <c r="K187">
        <f t="shared" si="64"/>
        <v>1412</v>
      </c>
      <c r="L187">
        <f t="shared" si="64"/>
        <v>3345</v>
      </c>
    </row>
    <row r="188" spans="1:12" x14ac:dyDescent="0.3">
      <c r="A188" s="12" t="s">
        <v>57</v>
      </c>
      <c r="B188">
        <f>SUM(B177:B179)</f>
        <v>1225</v>
      </c>
      <c r="C188">
        <f t="shared" ref="C188:L188" si="65">SUM(C177:C179)</f>
        <v>2414</v>
      </c>
      <c r="D188">
        <f t="shared" si="65"/>
        <v>940</v>
      </c>
      <c r="E188">
        <f t="shared" si="65"/>
        <v>2939</v>
      </c>
      <c r="F188">
        <f t="shared" si="65"/>
        <v>1556</v>
      </c>
      <c r="G188">
        <f t="shared" si="65"/>
        <v>2118</v>
      </c>
      <c r="H188">
        <f t="shared" si="65"/>
        <v>2942</v>
      </c>
      <c r="I188">
        <f t="shared" si="65"/>
        <v>1730</v>
      </c>
      <c r="J188">
        <f t="shared" si="65"/>
        <v>1356</v>
      </c>
      <c r="K188">
        <f t="shared" si="65"/>
        <v>957</v>
      </c>
      <c r="L188">
        <f t="shared" si="65"/>
        <v>2673</v>
      </c>
    </row>
    <row r="189" spans="1:12" x14ac:dyDescent="0.3">
      <c r="A189" s="143" t="s">
        <v>83</v>
      </c>
      <c r="B189" s="36">
        <f>SUM(B182:B188)</f>
        <v>39165</v>
      </c>
      <c r="C189" s="36">
        <f t="shared" ref="C189" si="66">SUM(C182:C188)</f>
        <v>32241</v>
      </c>
      <c r="D189" s="36">
        <f t="shared" ref="D189" si="67">SUM(D182:D188)</f>
        <v>38151</v>
      </c>
      <c r="E189" s="36">
        <f t="shared" ref="E189" si="68">SUM(E182:E188)</f>
        <v>95094</v>
      </c>
      <c r="F189" s="36">
        <f t="shared" ref="F189" si="69">SUM(F182:F188)</f>
        <v>41280</v>
      </c>
      <c r="G189" s="36">
        <f t="shared" ref="G189" si="70">SUM(G182:G188)</f>
        <v>32699</v>
      </c>
      <c r="H189" s="36">
        <f t="shared" ref="H189" si="71">SUM(H182:H188)</f>
        <v>39602</v>
      </c>
      <c r="I189" s="36">
        <f t="shared" ref="I189" si="72">SUM(I182:I188)</f>
        <v>36657</v>
      </c>
      <c r="J189" s="36">
        <f t="shared" ref="J189" si="73">SUM(J182:J188)</f>
        <v>56726</v>
      </c>
      <c r="K189" s="36">
        <f t="shared" ref="K189" si="74">SUM(K182:K188)</f>
        <v>18714</v>
      </c>
      <c r="L189" s="36">
        <f t="shared" ref="L189" si="75">SUM(L182:L188)</f>
        <v>41854</v>
      </c>
    </row>
    <row r="190" spans="1:12" x14ac:dyDescent="0.3">
      <c r="A190" s="143"/>
    </row>
    <row r="192" spans="1:12" x14ac:dyDescent="0.3">
      <c r="A192" s="149" t="s">
        <v>267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7" x14ac:dyDescent="0.3">
      <c r="A193" s="152"/>
      <c r="B193" s="70">
        <v>90802</v>
      </c>
      <c r="C193" s="70">
        <v>90803</v>
      </c>
      <c r="D193" s="70">
        <v>90804</v>
      </c>
      <c r="E193" s="70">
        <v>90805</v>
      </c>
      <c r="F193" s="70">
        <v>90806</v>
      </c>
      <c r="G193" s="70">
        <v>90807</v>
      </c>
      <c r="H193" s="70">
        <v>90808</v>
      </c>
      <c r="I193" s="70">
        <v>90810</v>
      </c>
      <c r="J193" s="70">
        <v>90813</v>
      </c>
      <c r="K193" s="70">
        <v>90814</v>
      </c>
      <c r="L193" s="70">
        <v>90815</v>
      </c>
      <c r="P193" s="44"/>
      <c r="Q193" s="44"/>
    </row>
    <row r="194" spans="1:17" x14ac:dyDescent="0.3">
      <c r="A194" s="152" t="s">
        <v>83</v>
      </c>
      <c r="B194" s="70">
        <v>39036</v>
      </c>
      <c r="C194" s="70">
        <v>32631</v>
      </c>
      <c r="D194" s="70">
        <v>37953</v>
      </c>
      <c r="E194" s="70">
        <v>96840</v>
      </c>
      <c r="F194" s="70">
        <v>41571</v>
      </c>
      <c r="G194" s="70">
        <v>32994</v>
      </c>
      <c r="H194" s="70">
        <v>39723</v>
      </c>
      <c r="I194" s="70">
        <v>37451</v>
      </c>
      <c r="J194" s="70">
        <v>56420</v>
      </c>
      <c r="K194" s="70">
        <v>19166</v>
      </c>
      <c r="L194" s="70">
        <v>43092</v>
      </c>
      <c r="Q194" s="36"/>
    </row>
    <row r="195" spans="1:17" x14ac:dyDescent="0.3">
      <c r="A195" s="153" t="s">
        <v>185</v>
      </c>
      <c r="B195" s="36">
        <v>1401</v>
      </c>
      <c r="C195" s="36">
        <v>1118</v>
      </c>
      <c r="D195" s="36">
        <v>2168</v>
      </c>
      <c r="E195" s="36">
        <v>7295</v>
      </c>
      <c r="F195" s="36">
        <v>2802</v>
      </c>
      <c r="G195" s="36">
        <v>1570</v>
      </c>
      <c r="H195" s="36">
        <v>2216</v>
      </c>
      <c r="I195" s="36">
        <v>1888</v>
      </c>
      <c r="J195" s="36">
        <v>4029</v>
      </c>
      <c r="K195" s="36">
        <v>1107</v>
      </c>
      <c r="L195" s="36">
        <v>2627</v>
      </c>
      <c r="Q195" s="36"/>
    </row>
    <row r="196" spans="1:17" x14ac:dyDescent="0.3">
      <c r="A196" s="153" t="s">
        <v>186</v>
      </c>
      <c r="B196" s="36">
        <v>1239</v>
      </c>
      <c r="C196" s="36">
        <v>684</v>
      </c>
      <c r="D196" s="36">
        <v>1921</v>
      </c>
      <c r="E196" s="36">
        <v>6774</v>
      </c>
      <c r="F196" s="36">
        <v>2800</v>
      </c>
      <c r="G196" s="36">
        <v>1568</v>
      </c>
      <c r="H196" s="36">
        <v>2552</v>
      </c>
      <c r="I196" s="36">
        <v>2577</v>
      </c>
      <c r="J196" s="36">
        <v>4452</v>
      </c>
      <c r="K196" s="36">
        <v>797</v>
      </c>
      <c r="L196" s="36">
        <v>1661</v>
      </c>
      <c r="Q196" s="36"/>
    </row>
    <row r="197" spans="1:17" x14ac:dyDescent="0.3">
      <c r="A197" s="153" t="s">
        <v>187</v>
      </c>
      <c r="B197" s="36">
        <v>1562</v>
      </c>
      <c r="C197" s="36">
        <v>1029</v>
      </c>
      <c r="D197" s="36">
        <v>2165</v>
      </c>
      <c r="E197" s="36">
        <v>6899</v>
      </c>
      <c r="F197" s="36">
        <v>2897</v>
      </c>
      <c r="G197" s="36">
        <v>2131</v>
      </c>
      <c r="H197" s="36">
        <v>2736</v>
      </c>
      <c r="I197" s="36">
        <v>2539</v>
      </c>
      <c r="J197" s="36">
        <v>4627</v>
      </c>
      <c r="K197" s="36">
        <v>747</v>
      </c>
      <c r="L197" s="36">
        <v>2899</v>
      </c>
      <c r="Q197" s="36"/>
    </row>
    <row r="198" spans="1:17" x14ac:dyDescent="0.3">
      <c r="A198" s="153" t="s">
        <v>188</v>
      </c>
      <c r="B198" s="36">
        <v>976</v>
      </c>
      <c r="C198" s="36">
        <v>851</v>
      </c>
      <c r="D198" s="36">
        <v>876</v>
      </c>
      <c r="E198" s="36">
        <v>4346</v>
      </c>
      <c r="F198" s="36">
        <v>1383</v>
      </c>
      <c r="G198" s="36">
        <v>985</v>
      </c>
      <c r="H198" s="36">
        <v>1322</v>
      </c>
      <c r="I198" s="36">
        <v>1775</v>
      </c>
      <c r="J198" s="36">
        <v>2395</v>
      </c>
      <c r="K198" s="36">
        <v>389</v>
      </c>
      <c r="L198" s="36">
        <v>1387</v>
      </c>
      <c r="Q198" s="36"/>
    </row>
    <row r="199" spans="1:17" x14ac:dyDescent="0.3">
      <c r="A199" s="153" t="s">
        <v>189</v>
      </c>
      <c r="B199" s="36">
        <v>587</v>
      </c>
      <c r="C199" s="36">
        <v>622</v>
      </c>
      <c r="D199" s="36">
        <v>1270</v>
      </c>
      <c r="E199" s="36">
        <v>2781</v>
      </c>
      <c r="F199" s="36">
        <v>975</v>
      </c>
      <c r="G199" s="36">
        <v>776</v>
      </c>
      <c r="H199" s="36">
        <v>686</v>
      </c>
      <c r="I199" s="36">
        <v>1351</v>
      </c>
      <c r="J199" s="36">
        <v>1912</v>
      </c>
      <c r="K199" s="36">
        <v>83</v>
      </c>
      <c r="L199" s="36">
        <v>2158</v>
      </c>
      <c r="Q199" s="36"/>
    </row>
    <row r="200" spans="1:17" x14ac:dyDescent="0.3">
      <c r="A200" s="153" t="s">
        <v>190</v>
      </c>
      <c r="B200" s="36">
        <v>281</v>
      </c>
      <c r="C200" s="36">
        <v>121</v>
      </c>
      <c r="D200" s="36">
        <v>624</v>
      </c>
      <c r="E200" s="36">
        <v>1269</v>
      </c>
      <c r="F200" s="36">
        <v>857</v>
      </c>
      <c r="G200" s="36">
        <v>350</v>
      </c>
      <c r="H200" s="36">
        <v>218</v>
      </c>
      <c r="I200" s="36">
        <v>459</v>
      </c>
      <c r="J200" s="36">
        <v>925</v>
      </c>
      <c r="K200" s="36">
        <v>90</v>
      </c>
      <c r="L200" s="36">
        <v>1014</v>
      </c>
      <c r="Q200" s="36"/>
    </row>
    <row r="201" spans="1:17" x14ac:dyDescent="0.3">
      <c r="A201" s="153" t="s">
        <v>191</v>
      </c>
      <c r="B201" s="36">
        <v>490</v>
      </c>
      <c r="C201" s="36">
        <v>209</v>
      </c>
      <c r="D201" s="36">
        <v>797</v>
      </c>
      <c r="E201" s="36">
        <v>1682</v>
      </c>
      <c r="F201" s="36">
        <v>511</v>
      </c>
      <c r="G201" s="36">
        <v>330</v>
      </c>
      <c r="H201" s="36">
        <v>226</v>
      </c>
      <c r="I201" s="36">
        <v>789</v>
      </c>
      <c r="J201" s="36">
        <v>1088</v>
      </c>
      <c r="K201" s="36">
        <v>87</v>
      </c>
      <c r="L201" s="36">
        <v>926</v>
      </c>
      <c r="Q201" s="36"/>
    </row>
    <row r="202" spans="1:17" x14ac:dyDescent="0.3">
      <c r="A202" s="153" t="s">
        <v>192</v>
      </c>
      <c r="B202" s="36">
        <v>2053</v>
      </c>
      <c r="C202" s="36">
        <v>966</v>
      </c>
      <c r="D202" s="36">
        <v>1648</v>
      </c>
      <c r="E202" s="36">
        <v>4535</v>
      </c>
      <c r="F202" s="36">
        <v>1874</v>
      </c>
      <c r="G202" s="36">
        <v>1082</v>
      </c>
      <c r="H202" s="36">
        <v>964</v>
      </c>
      <c r="I202" s="36">
        <v>1595</v>
      </c>
      <c r="J202" s="36">
        <v>2727</v>
      </c>
      <c r="K202" s="36">
        <v>754</v>
      </c>
      <c r="L202" s="36">
        <v>2196</v>
      </c>
      <c r="Q202" s="36"/>
    </row>
    <row r="203" spans="1:17" x14ac:dyDescent="0.3">
      <c r="A203" s="153" t="s">
        <v>193</v>
      </c>
      <c r="B203" s="36">
        <v>5233</v>
      </c>
      <c r="C203" s="36">
        <v>2523</v>
      </c>
      <c r="D203" s="36">
        <v>4778</v>
      </c>
      <c r="E203" s="36">
        <v>8586</v>
      </c>
      <c r="F203" s="36">
        <v>4027</v>
      </c>
      <c r="G203" s="36">
        <v>2002</v>
      </c>
      <c r="H203" s="36">
        <v>1909</v>
      </c>
      <c r="I203" s="36">
        <v>2926</v>
      </c>
      <c r="J203" s="36">
        <v>5261</v>
      </c>
      <c r="K203" s="36">
        <v>2055</v>
      </c>
      <c r="L203" s="36">
        <v>3033</v>
      </c>
      <c r="Q203" s="36"/>
    </row>
    <row r="204" spans="1:17" x14ac:dyDescent="0.3">
      <c r="A204" s="153" t="s">
        <v>194</v>
      </c>
      <c r="B204" s="36">
        <v>5143</v>
      </c>
      <c r="C204" s="36">
        <v>2985</v>
      </c>
      <c r="D204" s="36">
        <v>4097</v>
      </c>
      <c r="E204" s="36">
        <v>7962</v>
      </c>
      <c r="F204" s="36">
        <v>3126</v>
      </c>
      <c r="G204" s="36">
        <v>2106</v>
      </c>
      <c r="H204" s="36">
        <v>2346</v>
      </c>
      <c r="I204" s="36">
        <v>2652</v>
      </c>
      <c r="J204" s="36">
        <v>5279</v>
      </c>
      <c r="K204" s="36">
        <v>2326</v>
      </c>
      <c r="L204" s="36">
        <v>2458</v>
      </c>
      <c r="Q204" s="36"/>
    </row>
    <row r="205" spans="1:17" x14ac:dyDescent="0.3">
      <c r="A205" s="153" t="s">
        <v>195</v>
      </c>
      <c r="B205" s="36">
        <v>3666</v>
      </c>
      <c r="C205" s="36">
        <v>2594</v>
      </c>
      <c r="D205" s="36">
        <v>2838</v>
      </c>
      <c r="E205" s="36">
        <v>6369</v>
      </c>
      <c r="F205" s="36">
        <v>3147</v>
      </c>
      <c r="G205" s="36">
        <v>2233</v>
      </c>
      <c r="H205" s="36">
        <v>2905</v>
      </c>
      <c r="I205" s="36">
        <v>2575</v>
      </c>
      <c r="J205" s="36">
        <v>3425</v>
      </c>
      <c r="K205" s="36">
        <v>2207</v>
      </c>
      <c r="L205" s="36">
        <v>3038</v>
      </c>
    </row>
    <row r="206" spans="1:17" x14ac:dyDescent="0.3">
      <c r="A206" s="153" t="s">
        <v>196</v>
      </c>
      <c r="B206" s="36">
        <v>3441</v>
      </c>
      <c r="C206" s="36">
        <v>2217</v>
      </c>
      <c r="D206" s="36">
        <v>2512</v>
      </c>
      <c r="E206" s="36">
        <v>6281</v>
      </c>
      <c r="F206" s="36">
        <v>2805</v>
      </c>
      <c r="G206" s="36">
        <v>2144</v>
      </c>
      <c r="H206" s="36">
        <v>2717</v>
      </c>
      <c r="I206" s="36">
        <v>2274</v>
      </c>
      <c r="J206" s="36">
        <v>3708</v>
      </c>
      <c r="K206" s="36">
        <v>1344</v>
      </c>
      <c r="L206" s="36">
        <v>2605</v>
      </c>
    </row>
    <row r="207" spans="1:17" x14ac:dyDescent="0.3">
      <c r="A207" s="153" t="s">
        <v>197</v>
      </c>
      <c r="B207" s="36">
        <v>2691</v>
      </c>
      <c r="C207" s="36">
        <v>2669</v>
      </c>
      <c r="D207" s="36">
        <v>2426</v>
      </c>
      <c r="E207" s="36">
        <v>5636</v>
      </c>
      <c r="F207" s="36">
        <v>2431</v>
      </c>
      <c r="G207" s="36">
        <v>2814</v>
      </c>
      <c r="H207" s="36">
        <v>2937</v>
      </c>
      <c r="I207" s="36">
        <v>1868</v>
      </c>
      <c r="J207" s="36">
        <v>3011</v>
      </c>
      <c r="K207" s="36">
        <v>1054</v>
      </c>
      <c r="L207" s="36">
        <v>2889</v>
      </c>
    </row>
    <row r="208" spans="1:17" x14ac:dyDescent="0.3">
      <c r="A208" s="153" t="s">
        <v>198</v>
      </c>
      <c r="B208" s="36">
        <v>2268</v>
      </c>
      <c r="C208" s="36">
        <v>2299</v>
      </c>
      <c r="D208" s="36">
        <v>2867</v>
      </c>
      <c r="E208" s="36">
        <v>5765</v>
      </c>
      <c r="F208" s="36">
        <v>2835</v>
      </c>
      <c r="G208" s="36">
        <v>2268</v>
      </c>
      <c r="H208" s="36">
        <v>3073</v>
      </c>
      <c r="I208" s="36">
        <v>2998</v>
      </c>
      <c r="J208" s="36">
        <v>3059</v>
      </c>
      <c r="K208" s="36">
        <v>1382</v>
      </c>
      <c r="L208" s="36">
        <v>2641</v>
      </c>
    </row>
    <row r="209" spans="1:12" x14ac:dyDescent="0.3">
      <c r="A209" s="153" t="s">
        <v>199</v>
      </c>
      <c r="B209" s="36">
        <v>2166</v>
      </c>
      <c r="C209" s="36">
        <v>2942</v>
      </c>
      <c r="D209" s="36">
        <v>1834</v>
      </c>
      <c r="E209" s="36">
        <v>5443</v>
      </c>
      <c r="F209" s="36">
        <v>2309</v>
      </c>
      <c r="G209" s="36">
        <v>2801</v>
      </c>
      <c r="H209" s="36">
        <v>2676</v>
      </c>
      <c r="I209" s="36">
        <v>2448</v>
      </c>
      <c r="J209" s="36">
        <v>3468</v>
      </c>
      <c r="K209" s="36">
        <v>1416</v>
      </c>
      <c r="L209" s="36">
        <v>3177</v>
      </c>
    </row>
    <row r="210" spans="1:12" x14ac:dyDescent="0.3">
      <c r="A210" s="153" t="s">
        <v>200</v>
      </c>
      <c r="B210" s="36">
        <v>985</v>
      </c>
      <c r="C210" s="36">
        <v>909</v>
      </c>
      <c r="D210" s="36">
        <v>815</v>
      </c>
      <c r="E210" s="36">
        <v>1991</v>
      </c>
      <c r="F210" s="36">
        <v>994</v>
      </c>
      <c r="G210" s="36">
        <v>1043</v>
      </c>
      <c r="H210" s="36">
        <v>1212</v>
      </c>
      <c r="I210" s="36">
        <v>872</v>
      </c>
      <c r="J210" s="36">
        <v>1307</v>
      </c>
      <c r="K210" s="36">
        <v>334</v>
      </c>
      <c r="L210" s="36">
        <v>1018</v>
      </c>
    </row>
    <row r="211" spans="1:12" x14ac:dyDescent="0.3">
      <c r="A211" s="153" t="s">
        <v>201</v>
      </c>
      <c r="B211" s="36">
        <v>1466</v>
      </c>
      <c r="C211" s="36">
        <v>1391</v>
      </c>
      <c r="D211" s="36">
        <v>1041</v>
      </c>
      <c r="E211" s="36">
        <v>3509</v>
      </c>
      <c r="F211" s="36">
        <v>1350</v>
      </c>
      <c r="G211" s="36">
        <v>1289</v>
      </c>
      <c r="H211" s="36">
        <v>1442</v>
      </c>
      <c r="I211" s="36">
        <v>1567</v>
      </c>
      <c r="J211" s="36">
        <v>1324</v>
      </c>
      <c r="K211" s="36">
        <v>680</v>
      </c>
      <c r="L211" s="36">
        <v>1599</v>
      </c>
    </row>
    <row r="212" spans="1:12" x14ac:dyDescent="0.3">
      <c r="A212" s="153" t="s">
        <v>202</v>
      </c>
      <c r="B212" s="36">
        <v>784</v>
      </c>
      <c r="C212" s="36">
        <v>901</v>
      </c>
      <c r="D212" s="36">
        <v>581</v>
      </c>
      <c r="E212" s="36">
        <v>1439</v>
      </c>
      <c r="F212" s="36">
        <v>671</v>
      </c>
      <c r="G212" s="36">
        <v>696</v>
      </c>
      <c r="H212" s="36">
        <v>971</v>
      </c>
      <c r="I212" s="36">
        <v>641</v>
      </c>
      <c r="J212" s="36">
        <v>829</v>
      </c>
      <c r="K212" s="36">
        <v>348</v>
      </c>
      <c r="L212" s="36">
        <v>719</v>
      </c>
    </row>
    <row r="213" spans="1:12" x14ac:dyDescent="0.3">
      <c r="A213" s="153" t="s">
        <v>203</v>
      </c>
      <c r="B213" s="36">
        <v>691</v>
      </c>
      <c r="C213" s="36">
        <v>1275</v>
      </c>
      <c r="D213" s="36">
        <v>848</v>
      </c>
      <c r="E213" s="36">
        <v>2517</v>
      </c>
      <c r="F213" s="36">
        <v>738</v>
      </c>
      <c r="G213" s="36">
        <v>1133</v>
      </c>
      <c r="H213" s="36">
        <v>1344</v>
      </c>
      <c r="I213" s="36">
        <v>662</v>
      </c>
      <c r="J213" s="36">
        <v>1091</v>
      </c>
      <c r="K213" s="36">
        <v>559</v>
      </c>
      <c r="L213" s="36">
        <v>979</v>
      </c>
    </row>
    <row r="214" spans="1:12" x14ac:dyDescent="0.3">
      <c r="A214" s="153" t="s">
        <v>204</v>
      </c>
      <c r="B214" s="36">
        <v>775</v>
      </c>
      <c r="C214" s="36">
        <v>1822</v>
      </c>
      <c r="D214" s="36">
        <v>819</v>
      </c>
      <c r="E214" s="36">
        <v>2620</v>
      </c>
      <c r="F214" s="36">
        <v>1267</v>
      </c>
      <c r="G214" s="36">
        <v>1664</v>
      </c>
      <c r="H214" s="36">
        <v>2152</v>
      </c>
      <c r="I214" s="36">
        <v>1281</v>
      </c>
      <c r="J214" s="36">
        <v>1088</v>
      </c>
      <c r="K214" s="36">
        <v>533</v>
      </c>
      <c r="L214" s="36">
        <v>1489</v>
      </c>
    </row>
    <row r="215" spans="1:12" x14ac:dyDescent="0.3">
      <c r="A215" s="153" t="s">
        <v>205</v>
      </c>
      <c r="B215" s="36">
        <v>663</v>
      </c>
      <c r="C215" s="36">
        <v>1384</v>
      </c>
      <c r="D215" s="36">
        <v>420</v>
      </c>
      <c r="E215" s="36">
        <v>1344</v>
      </c>
      <c r="F215" s="36">
        <v>758</v>
      </c>
      <c r="G215" s="36">
        <v>720</v>
      </c>
      <c r="H215" s="36">
        <v>1316</v>
      </c>
      <c r="I215" s="36">
        <v>619</v>
      </c>
      <c r="J215" s="36">
        <v>501</v>
      </c>
      <c r="K215" s="36">
        <v>238</v>
      </c>
      <c r="L215" s="36">
        <v>1008</v>
      </c>
    </row>
    <row r="216" spans="1:12" x14ac:dyDescent="0.3">
      <c r="A216" s="153" t="s">
        <v>206</v>
      </c>
      <c r="B216" s="36">
        <v>313</v>
      </c>
      <c r="C216" s="36">
        <v>520</v>
      </c>
      <c r="D216" s="36">
        <v>269</v>
      </c>
      <c r="E216" s="36">
        <v>881</v>
      </c>
      <c r="F216" s="36">
        <v>355</v>
      </c>
      <c r="G216" s="36">
        <v>345</v>
      </c>
      <c r="H216" s="36">
        <v>656</v>
      </c>
      <c r="I216" s="36">
        <v>450</v>
      </c>
      <c r="J216" s="36">
        <v>429</v>
      </c>
      <c r="K216" s="36">
        <v>145</v>
      </c>
      <c r="L216" s="36">
        <v>630</v>
      </c>
    </row>
    <row r="217" spans="1:12" x14ac:dyDescent="0.3">
      <c r="A217" s="153" t="s">
        <v>207</v>
      </c>
      <c r="B217" s="36">
        <v>162</v>
      </c>
      <c r="C217" s="36">
        <v>600</v>
      </c>
      <c r="D217" s="36">
        <v>339</v>
      </c>
      <c r="E217" s="36">
        <v>916</v>
      </c>
      <c r="F217" s="36">
        <v>659</v>
      </c>
      <c r="G217" s="36">
        <v>944</v>
      </c>
      <c r="H217" s="36">
        <v>1147</v>
      </c>
      <c r="I217" s="36">
        <v>645</v>
      </c>
      <c r="J217" s="36">
        <v>485</v>
      </c>
      <c r="K217" s="36">
        <v>491</v>
      </c>
      <c r="L217" s="36">
        <v>941</v>
      </c>
    </row>
    <row r="219" spans="1:12" x14ac:dyDescent="0.3">
      <c r="A219" s="143" t="s">
        <v>47</v>
      </c>
      <c r="B219" s="36" t="s">
        <v>268</v>
      </c>
      <c r="C219" s="36" t="s">
        <v>269</v>
      </c>
      <c r="D219" s="36" t="s">
        <v>270</v>
      </c>
      <c r="E219" s="36" t="s">
        <v>271</v>
      </c>
      <c r="F219" s="36" t="s">
        <v>272</v>
      </c>
      <c r="G219" s="36" t="s">
        <v>273</v>
      </c>
      <c r="H219" s="36" t="s">
        <v>274</v>
      </c>
      <c r="I219" s="36" t="s">
        <v>275</v>
      </c>
      <c r="J219" s="36" t="s">
        <v>276</v>
      </c>
      <c r="K219" s="36" t="s">
        <v>277</v>
      </c>
      <c r="L219" s="36" t="s">
        <v>278</v>
      </c>
    </row>
    <row r="220" spans="1:12" x14ac:dyDescent="0.3">
      <c r="A220" s="12" t="s">
        <v>49</v>
      </c>
      <c r="B220">
        <f>SUM(B195)</f>
        <v>1401</v>
      </c>
      <c r="C220">
        <f t="shared" ref="C220:L220" si="76">SUM(C195)</f>
        <v>1118</v>
      </c>
      <c r="D220">
        <f t="shared" si="76"/>
        <v>2168</v>
      </c>
      <c r="E220">
        <f t="shared" si="76"/>
        <v>7295</v>
      </c>
      <c r="F220">
        <f t="shared" si="76"/>
        <v>2802</v>
      </c>
      <c r="G220">
        <f t="shared" si="76"/>
        <v>1570</v>
      </c>
      <c r="H220">
        <f t="shared" si="76"/>
        <v>2216</v>
      </c>
      <c r="I220">
        <f t="shared" si="76"/>
        <v>1888</v>
      </c>
      <c r="J220">
        <f t="shared" si="76"/>
        <v>4029</v>
      </c>
      <c r="K220">
        <f t="shared" si="76"/>
        <v>1107</v>
      </c>
      <c r="L220">
        <f t="shared" si="76"/>
        <v>2627</v>
      </c>
    </row>
    <row r="221" spans="1:12" x14ac:dyDescent="0.3">
      <c r="A221" s="12" t="s">
        <v>51</v>
      </c>
      <c r="B221">
        <f>SUM(B196:B197)</f>
        <v>2801</v>
      </c>
      <c r="C221">
        <f t="shared" ref="C221:L221" si="77">SUM(C196:C197)</f>
        <v>1713</v>
      </c>
      <c r="D221">
        <f t="shared" si="77"/>
        <v>4086</v>
      </c>
      <c r="E221">
        <f t="shared" si="77"/>
        <v>13673</v>
      </c>
      <c r="F221">
        <f t="shared" si="77"/>
        <v>5697</v>
      </c>
      <c r="G221">
        <f t="shared" si="77"/>
        <v>3699</v>
      </c>
      <c r="H221">
        <f t="shared" si="77"/>
        <v>5288</v>
      </c>
      <c r="I221">
        <f t="shared" si="77"/>
        <v>5116</v>
      </c>
      <c r="J221">
        <f t="shared" si="77"/>
        <v>9079</v>
      </c>
      <c r="K221">
        <f t="shared" si="77"/>
        <v>1544</v>
      </c>
      <c r="L221">
        <f t="shared" si="77"/>
        <v>4560</v>
      </c>
    </row>
    <row r="222" spans="1:12" x14ac:dyDescent="0.3">
      <c r="A222" s="12" t="s">
        <v>53</v>
      </c>
      <c r="B222">
        <f>SUM(B198:B202)</f>
        <v>4387</v>
      </c>
      <c r="C222">
        <f t="shared" ref="C222:L222" si="78">SUM(C198:C202)</f>
        <v>2769</v>
      </c>
      <c r="D222">
        <f t="shared" si="78"/>
        <v>5215</v>
      </c>
      <c r="E222">
        <f t="shared" si="78"/>
        <v>14613</v>
      </c>
      <c r="F222">
        <f t="shared" si="78"/>
        <v>5600</v>
      </c>
      <c r="G222">
        <f t="shared" si="78"/>
        <v>3523</v>
      </c>
      <c r="H222">
        <f t="shared" si="78"/>
        <v>3416</v>
      </c>
      <c r="I222">
        <f t="shared" si="78"/>
        <v>5969</v>
      </c>
      <c r="J222">
        <f t="shared" si="78"/>
        <v>9047</v>
      </c>
      <c r="K222">
        <f t="shared" si="78"/>
        <v>1403</v>
      </c>
      <c r="L222">
        <f t="shared" si="78"/>
        <v>7681</v>
      </c>
    </row>
    <row r="223" spans="1:12" x14ac:dyDescent="0.3">
      <c r="A223" s="12" t="s">
        <v>54</v>
      </c>
      <c r="B223">
        <f>SUM(B203:B206)</f>
        <v>17483</v>
      </c>
      <c r="C223">
        <f t="shared" ref="C223:L223" si="79">SUM(C203:C206)</f>
        <v>10319</v>
      </c>
      <c r="D223">
        <f t="shared" si="79"/>
        <v>14225</v>
      </c>
      <c r="E223">
        <f t="shared" si="79"/>
        <v>29198</v>
      </c>
      <c r="F223">
        <f t="shared" si="79"/>
        <v>13105</v>
      </c>
      <c r="G223">
        <f t="shared" si="79"/>
        <v>8485</v>
      </c>
      <c r="H223">
        <f t="shared" si="79"/>
        <v>9877</v>
      </c>
      <c r="I223">
        <f t="shared" si="79"/>
        <v>10427</v>
      </c>
      <c r="J223">
        <f t="shared" si="79"/>
        <v>17673</v>
      </c>
      <c r="K223">
        <f t="shared" si="79"/>
        <v>7932</v>
      </c>
      <c r="L223">
        <f t="shared" si="79"/>
        <v>11134</v>
      </c>
    </row>
    <row r="224" spans="1:12" x14ac:dyDescent="0.3">
      <c r="A224" s="12" t="s">
        <v>55</v>
      </c>
      <c r="B224">
        <f>SUM(B207:B211)</f>
        <v>9576</v>
      </c>
      <c r="C224">
        <f t="shared" ref="C224:L224" si="80">SUM(C207:C211)</f>
        <v>10210</v>
      </c>
      <c r="D224">
        <f t="shared" si="80"/>
        <v>8983</v>
      </c>
      <c r="E224">
        <f t="shared" si="80"/>
        <v>22344</v>
      </c>
      <c r="F224">
        <f t="shared" si="80"/>
        <v>9919</v>
      </c>
      <c r="G224">
        <f t="shared" si="80"/>
        <v>10215</v>
      </c>
      <c r="H224">
        <f t="shared" si="80"/>
        <v>11340</v>
      </c>
      <c r="I224">
        <f t="shared" si="80"/>
        <v>9753</v>
      </c>
      <c r="J224">
        <f t="shared" si="80"/>
        <v>12169</v>
      </c>
      <c r="K224">
        <f t="shared" si="80"/>
        <v>4866</v>
      </c>
      <c r="L224">
        <f t="shared" si="80"/>
        <v>11324</v>
      </c>
    </row>
    <row r="225" spans="1:12" x14ac:dyDescent="0.3">
      <c r="A225" s="12" t="s">
        <v>56</v>
      </c>
      <c r="B225">
        <f>SUM(B212:B214)</f>
        <v>2250</v>
      </c>
      <c r="C225">
        <f t="shared" ref="C225:L225" si="81">SUM(C212:C214)</f>
        <v>3998</v>
      </c>
      <c r="D225">
        <f t="shared" si="81"/>
        <v>2248</v>
      </c>
      <c r="E225">
        <f t="shared" si="81"/>
        <v>6576</v>
      </c>
      <c r="F225">
        <f t="shared" si="81"/>
        <v>2676</v>
      </c>
      <c r="G225">
        <f t="shared" si="81"/>
        <v>3493</v>
      </c>
      <c r="H225">
        <f t="shared" si="81"/>
        <v>4467</v>
      </c>
      <c r="I225">
        <f t="shared" si="81"/>
        <v>2584</v>
      </c>
      <c r="J225">
        <f t="shared" si="81"/>
        <v>3008</v>
      </c>
      <c r="K225">
        <f t="shared" si="81"/>
        <v>1440</v>
      </c>
      <c r="L225">
        <f t="shared" si="81"/>
        <v>3187</v>
      </c>
    </row>
    <row r="226" spans="1:12" x14ac:dyDescent="0.3">
      <c r="A226" s="12" t="s">
        <v>57</v>
      </c>
      <c r="B226">
        <f>SUM(B215:B217)</f>
        <v>1138</v>
      </c>
      <c r="C226">
        <f t="shared" ref="C226:L226" si="82">SUM(C215:C217)</f>
        <v>2504</v>
      </c>
      <c r="D226">
        <f t="shared" si="82"/>
        <v>1028</v>
      </c>
      <c r="E226">
        <f t="shared" si="82"/>
        <v>3141</v>
      </c>
      <c r="F226">
        <f t="shared" si="82"/>
        <v>1772</v>
      </c>
      <c r="G226">
        <f t="shared" si="82"/>
        <v>2009</v>
      </c>
      <c r="H226">
        <f t="shared" si="82"/>
        <v>3119</v>
      </c>
      <c r="I226">
        <f t="shared" si="82"/>
        <v>1714</v>
      </c>
      <c r="J226">
        <f t="shared" si="82"/>
        <v>1415</v>
      </c>
      <c r="K226">
        <f t="shared" si="82"/>
        <v>874</v>
      </c>
      <c r="L226">
        <f t="shared" si="82"/>
        <v>2579</v>
      </c>
    </row>
    <row r="227" spans="1:12" x14ac:dyDescent="0.3">
      <c r="A227" s="143" t="s">
        <v>83</v>
      </c>
      <c r="B227" s="36">
        <f>SUM(B220:B226)</f>
        <v>39036</v>
      </c>
      <c r="C227" s="36">
        <f t="shared" ref="C227" si="83">SUM(C220:C226)</f>
        <v>32631</v>
      </c>
      <c r="D227" s="36">
        <f t="shared" ref="D227" si="84">SUM(D220:D226)</f>
        <v>37953</v>
      </c>
      <c r="E227" s="36">
        <f t="shared" ref="E227" si="85">SUM(E220:E226)</f>
        <v>96840</v>
      </c>
      <c r="F227" s="36">
        <f t="shared" ref="F227" si="86">SUM(F220:F226)</f>
        <v>41571</v>
      </c>
      <c r="G227" s="36">
        <f t="shared" ref="G227" si="87">SUM(G220:G226)</f>
        <v>32994</v>
      </c>
      <c r="H227" s="36">
        <f t="shared" ref="H227" si="88">SUM(H220:H226)</f>
        <v>39723</v>
      </c>
      <c r="I227" s="36">
        <f t="shared" ref="I227" si="89">SUM(I220:I226)</f>
        <v>37451</v>
      </c>
      <c r="J227" s="36">
        <f t="shared" ref="J227" si="90">SUM(J220:J226)</f>
        <v>56420</v>
      </c>
      <c r="K227" s="36">
        <f t="shared" ref="K227" si="91">SUM(K220:K226)</f>
        <v>19166</v>
      </c>
      <c r="L227" s="36">
        <f t="shared" ref="L227" si="92">SUM(L220:L226)</f>
        <v>43092</v>
      </c>
    </row>
    <row r="228" spans="1:12" x14ac:dyDescent="0.3">
      <c r="A228" s="143"/>
    </row>
    <row r="230" spans="1:12" x14ac:dyDescent="0.3">
      <c r="A230" s="149" t="s">
        <v>279</v>
      </c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x14ac:dyDescent="0.3">
      <c r="A231" s="152"/>
      <c r="B231" s="70">
        <v>90802</v>
      </c>
      <c r="C231" s="70">
        <v>90803</v>
      </c>
      <c r="D231" s="70">
        <v>90804</v>
      </c>
      <c r="E231" s="70">
        <v>90805</v>
      </c>
      <c r="F231" s="70">
        <v>90806</v>
      </c>
      <c r="G231" s="70">
        <v>90807</v>
      </c>
      <c r="H231" s="70">
        <v>90808</v>
      </c>
      <c r="I231" s="70">
        <v>90810</v>
      </c>
      <c r="J231" s="70">
        <v>90813</v>
      </c>
      <c r="K231" s="70">
        <v>90814</v>
      </c>
      <c r="L231" s="70">
        <v>90815</v>
      </c>
    </row>
    <row r="232" spans="1:12" x14ac:dyDescent="0.3">
      <c r="A232" s="152" t="s">
        <v>83</v>
      </c>
      <c r="B232" s="80">
        <v>40012</v>
      </c>
      <c r="C232" s="80">
        <v>31659</v>
      </c>
      <c r="D232" s="80">
        <v>37299</v>
      </c>
      <c r="E232" s="80">
        <v>96515</v>
      </c>
      <c r="F232" s="80">
        <v>40688</v>
      </c>
      <c r="G232" s="80">
        <v>33153</v>
      </c>
      <c r="H232" s="80">
        <v>39698</v>
      </c>
      <c r="I232" s="80">
        <v>36306</v>
      </c>
      <c r="J232" s="80">
        <v>53647</v>
      </c>
      <c r="K232" s="80">
        <v>20723</v>
      </c>
      <c r="L232" s="80">
        <v>42759</v>
      </c>
    </row>
    <row r="233" spans="1:12" x14ac:dyDescent="0.3">
      <c r="A233" s="153" t="s">
        <v>185</v>
      </c>
      <c r="B233" s="36">
        <v>1389</v>
      </c>
      <c r="C233" s="36">
        <v>1087</v>
      </c>
      <c r="D233" s="36">
        <v>2046</v>
      </c>
      <c r="E233" s="36">
        <v>6728</v>
      </c>
      <c r="F233" s="36">
        <v>2461</v>
      </c>
      <c r="G233" s="36">
        <v>1569</v>
      </c>
      <c r="H233" s="36">
        <v>2092</v>
      </c>
      <c r="I233" s="36">
        <v>1633</v>
      </c>
      <c r="J233" s="36">
        <v>3175</v>
      </c>
      <c r="K233" s="36">
        <v>1308</v>
      </c>
      <c r="L233" s="36">
        <v>2467</v>
      </c>
    </row>
    <row r="234" spans="1:12" x14ac:dyDescent="0.3">
      <c r="A234" s="153" t="s">
        <v>186</v>
      </c>
      <c r="B234" s="36">
        <v>1111</v>
      </c>
      <c r="C234" s="36">
        <v>623</v>
      </c>
      <c r="D234" s="36">
        <v>1675</v>
      </c>
      <c r="E234" s="36">
        <v>6345</v>
      </c>
      <c r="F234" s="36">
        <v>2622</v>
      </c>
      <c r="G234" s="36">
        <v>1615</v>
      </c>
      <c r="H234" s="36">
        <v>2566</v>
      </c>
      <c r="I234" s="36">
        <v>2318</v>
      </c>
      <c r="J234" s="36">
        <v>3818</v>
      </c>
      <c r="K234" s="36">
        <v>1078</v>
      </c>
      <c r="L234" s="36">
        <v>1827</v>
      </c>
    </row>
    <row r="235" spans="1:12" x14ac:dyDescent="0.3">
      <c r="A235" s="153" t="s">
        <v>187</v>
      </c>
      <c r="B235" s="36">
        <v>1590</v>
      </c>
      <c r="C235" s="36">
        <v>843</v>
      </c>
      <c r="D235" s="36">
        <v>1992</v>
      </c>
      <c r="E235" s="36">
        <v>6863</v>
      </c>
      <c r="F235" s="36">
        <v>2931</v>
      </c>
      <c r="G235" s="36">
        <v>2135</v>
      </c>
      <c r="H235" s="36">
        <v>2748</v>
      </c>
      <c r="I235" s="36">
        <v>2384</v>
      </c>
      <c r="J235" s="36">
        <v>4355</v>
      </c>
      <c r="K235" s="36">
        <v>934</v>
      </c>
      <c r="L235" s="36">
        <v>2629</v>
      </c>
    </row>
    <row r="236" spans="1:12" x14ac:dyDescent="0.3">
      <c r="A236" s="153" t="s">
        <v>188</v>
      </c>
      <c r="B236" s="36">
        <v>1096</v>
      </c>
      <c r="C236" s="36">
        <v>756</v>
      </c>
      <c r="D236" s="36">
        <v>861</v>
      </c>
      <c r="E236" s="36">
        <v>4690</v>
      </c>
      <c r="F236" s="36">
        <v>1431</v>
      </c>
      <c r="G236" s="36">
        <v>1133</v>
      </c>
      <c r="H236" s="36">
        <v>1399</v>
      </c>
      <c r="I236" s="36">
        <v>1705</v>
      </c>
      <c r="J236" s="36">
        <v>2285</v>
      </c>
      <c r="K236" s="36">
        <v>494</v>
      </c>
      <c r="L236" s="36">
        <v>1378</v>
      </c>
    </row>
    <row r="237" spans="1:12" x14ac:dyDescent="0.3">
      <c r="A237" s="153" t="s">
        <v>189</v>
      </c>
      <c r="B237" s="36">
        <v>736</v>
      </c>
      <c r="C237" s="36">
        <v>654</v>
      </c>
      <c r="D237" s="36">
        <v>1070</v>
      </c>
      <c r="E237" s="36">
        <v>2976</v>
      </c>
      <c r="F237" s="36">
        <v>1110</v>
      </c>
      <c r="G237" s="36">
        <v>850</v>
      </c>
      <c r="H237" s="36">
        <v>711</v>
      </c>
      <c r="I237" s="36">
        <v>1169</v>
      </c>
      <c r="J237" s="36">
        <v>1774</v>
      </c>
      <c r="K237" s="36">
        <v>189</v>
      </c>
      <c r="L237" s="36">
        <v>2280</v>
      </c>
    </row>
    <row r="238" spans="1:12" x14ac:dyDescent="0.3">
      <c r="A238" s="153" t="s">
        <v>190</v>
      </c>
      <c r="B238" s="36">
        <v>283</v>
      </c>
      <c r="C238" s="36">
        <v>47</v>
      </c>
      <c r="D238" s="36">
        <v>561</v>
      </c>
      <c r="E238" s="36">
        <v>1378</v>
      </c>
      <c r="F238" s="36">
        <v>726</v>
      </c>
      <c r="G238" s="36">
        <v>450</v>
      </c>
      <c r="H238" s="36">
        <v>203</v>
      </c>
      <c r="I238" s="36">
        <v>453</v>
      </c>
      <c r="J238" s="36">
        <v>800</v>
      </c>
      <c r="K238" s="36">
        <v>108</v>
      </c>
      <c r="L238" s="36">
        <v>982</v>
      </c>
    </row>
    <row r="239" spans="1:12" x14ac:dyDescent="0.3">
      <c r="A239" s="153" t="s">
        <v>191</v>
      </c>
      <c r="B239" s="36">
        <v>429</v>
      </c>
      <c r="C239" s="36">
        <v>202</v>
      </c>
      <c r="D239" s="36">
        <v>663</v>
      </c>
      <c r="E239" s="36">
        <v>1906</v>
      </c>
      <c r="F239" s="36">
        <v>585</v>
      </c>
      <c r="G239" s="36">
        <v>380</v>
      </c>
      <c r="H239" s="36">
        <v>312</v>
      </c>
      <c r="I239" s="36">
        <v>732</v>
      </c>
      <c r="J239" s="36">
        <v>1006</v>
      </c>
      <c r="K239" s="36">
        <v>390</v>
      </c>
      <c r="L239" s="36">
        <v>774</v>
      </c>
    </row>
    <row r="240" spans="1:12" x14ac:dyDescent="0.3">
      <c r="A240" s="153" t="s">
        <v>192</v>
      </c>
      <c r="B240" s="36">
        <v>2505</v>
      </c>
      <c r="C240" s="36">
        <v>981</v>
      </c>
      <c r="D240" s="36">
        <v>1858</v>
      </c>
      <c r="E240" s="36">
        <v>4760</v>
      </c>
      <c r="F240" s="36">
        <v>1790</v>
      </c>
      <c r="G240" s="36">
        <v>1134</v>
      </c>
      <c r="H240" s="36">
        <v>1101</v>
      </c>
      <c r="I240" s="36">
        <v>1417</v>
      </c>
      <c r="J240" s="36">
        <v>2740</v>
      </c>
      <c r="K240" s="36">
        <v>889</v>
      </c>
      <c r="L240" s="36">
        <v>1999</v>
      </c>
    </row>
    <row r="241" spans="1:12" x14ac:dyDescent="0.3">
      <c r="A241" s="153" t="s">
        <v>193</v>
      </c>
      <c r="B241" s="36">
        <v>5056</v>
      </c>
      <c r="C241" s="36">
        <v>2544</v>
      </c>
      <c r="D241" s="36">
        <v>4311</v>
      </c>
      <c r="E241" s="36">
        <v>8631</v>
      </c>
      <c r="F241" s="36">
        <v>3728</v>
      </c>
      <c r="G241" s="36">
        <v>1950</v>
      </c>
      <c r="H241" s="36">
        <v>1807</v>
      </c>
      <c r="I241" s="36">
        <v>2886</v>
      </c>
      <c r="J241" s="36">
        <v>4840</v>
      </c>
      <c r="K241" s="36">
        <v>2058</v>
      </c>
      <c r="L241" s="36">
        <v>3019</v>
      </c>
    </row>
    <row r="242" spans="1:12" x14ac:dyDescent="0.3">
      <c r="A242" s="153" t="s">
        <v>194</v>
      </c>
      <c r="B242" s="36">
        <v>5597</v>
      </c>
      <c r="C242" s="36">
        <v>2951</v>
      </c>
      <c r="D242" s="36">
        <v>4372</v>
      </c>
      <c r="E242" s="36">
        <v>7766</v>
      </c>
      <c r="F242" s="36">
        <v>2947</v>
      </c>
      <c r="G242" s="36">
        <v>2156</v>
      </c>
      <c r="H242" s="36">
        <v>2372</v>
      </c>
      <c r="I242" s="36">
        <v>2734</v>
      </c>
      <c r="J242" s="36">
        <v>4938</v>
      </c>
      <c r="K242" s="36">
        <v>2196</v>
      </c>
      <c r="L242" s="36">
        <v>2655</v>
      </c>
    </row>
    <row r="243" spans="1:12" x14ac:dyDescent="0.3">
      <c r="A243" s="153" t="s">
        <v>195</v>
      </c>
      <c r="B243" s="36">
        <v>3848</v>
      </c>
      <c r="C243" s="36">
        <v>2473</v>
      </c>
      <c r="D243" s="36">
        <v>2739</v>
      </c>
      <c r="E243" s="36">
        <v>6741</v>
      </c>
      <c r="F243" s="36">
        <v>3287</v>
      </c>
      <c r="G243" s="36">
        <v>2588</v>
      </c>
      <c r="H243" s="36">
        <v>2796</v>
      </c>
      <c r="I243" s="36">
        <v>2575</v>
      </c>
      <c r="J243" s="36">
        <v>3507</v>
      </c>
      <c r="K243" s="36">
        <v>2433</v>
      </c>
      <c r="L243" s="36">
        <v>2881</v>
      </c>
    </row>
    <row r="244" spans="1:12" x14ac:dyDescent="0.3">
      <c r="A244" s="153" t="s">
        <v>196</v>
      </c>
      <c r="B244" s="36">
        <v>3053</v>
      </c>
      <c r="C244" s="36">
        <v>2068</v>
      </c>
      <c r="D244" s="36">
        <v>2714</v>
      </c>
      <c r="E244" s="36">
        <v>5913</v>
      </c>
      <c r="F244" s="36">
        <v>2529</v>
      </c>
      <c r="G244" s="36">
        <v>1956</v>
      </c>
      <c r="H244" s="36">
        <v>2689</v>
      </c>
      <c r="I244" s="36">
        <v>2126</v>
      </c>
      <c r="J244" s="36">
        <v>3401</v>
      </c>
      <c r="K244" s="36">
        <v>1190</v>
      </c>
      <c r="L244" s="36">
        <v>2714</v>
      </c>
    </row>
    <row r="245" spans="1:12" x14ac:dyDescent="0.3">
      <c r="A245" s="153" t="s">
        <v>197</v>
      </c>
      <c r="B245" s="36">
        <v>2469</v>
      </c>
      <c r="C245" s="36">
        <v>2473</v>
      </c>
      <c r="D245" s="36">
        <v>2381</v>
      </c>
      <c r="E245" s="36">
        <v>6078</v>
      </c>
      <c r="F245" s="36">
        <v>2529</v>
      </c>
      <c r="G245" s="36">
        <v>3026</v>
      </c>
      <c r="H245" s="36">
        <v>2854</v>
      </c>
      <c r="I245" s="36">
        <v>1598</v>
      </c>
      <c r="J245" s="36">
        <v>2926</v>
      </c>
      <c r="K245" s="36">
        <v>1262</v>
      </c>
      <c r="L245" s="36">
        <v>3056</v>
      </c>
    </row>
    <row r="246" spans="1:12" x14ac:dyDescent="0.3">
      <c r="A246" s="153" t="s">
        <v>198</v>
      </c>
      <c r="B246" s="36">
        <v>2445</v>
      </c>
      <c r="C246" s="36">
        <v>2313</v>
      </c>
      <c r="D246" s="36">
        <v>2863</v>
      </c>
      <c r="E246" s="36">
        <v>5913</v>
      </c>
      <c r="F246" s="36">
        <v>2613</v>
      </c>
      <c r="G246" s="36">
        <v>2229</v>
      </c>
      <c r="H246" s="36">
        <v>3086</v>
      </c>
      <c r="I246" s="36">
        <v>2747</v>
      </c>
      <c r="J246" s="36">
        <v>3070</v>
      </c>
      <c r="K246" s="36">
        <v>1224</v>
      </c>
      <c r="L246" s="36">
        <v>2368</v>
      </c>
    </row>
    <row r="247" spans="1:12" x14ac:dyDescent="0.3">
      <c r="A247" s="153" t="s">
        <v>199</v>
      </c>
      <c r="B247" s="36">
        <v>2106</v>
      </c>
      <c r="C247" s="36">
        <v>2781</v>
      </c>
      <c r="D247" s="36">
        <v>1854</v>
      </c>
      <c r="E247" s="36">
        <v>5517</v>
      </c>
      <c r="F247" s="36">
        <v>2436</v>
      </c>
      <c r="G247" s="36">
        <v>2384</v>
      </c>
      <c r="H247" s="36">
        <v>2865</v>
      </c>
      <c r="I247" s="36">
        <v>2555</v>
      </c>
      <c r="J247" s="36">
        <v>3509</v>
      </c>
      <c r="K247" s="36">
        <v>1363</v>
      </c>
      <c r="L247" s="36">
        <v>3043</v>
      </c>
    </row>
    <row r="248" spans="1:12" x14ac:dyDescent="0.3">
      <c r="A248" s="153" t="s">
        <v>200</v>
      </c>
      <c r="B248" s="36">
        <v>973</v>
      </c>
      <c r="C248" s="36">
        <v>814</v>
      </c>
      <c r="D248" s="36">
        <v>859</v>
      </c>
      <c r="E248" s="36">
        <v>1701</v>
      </c>
      <c r="F248" s="36">
        <v>1111</v>
      </c>
      <c r="G248" s="36">
        <v>1032</v>
      </c>
      <c r="H248" s="36">
        <v>1087</v>
      </c>
      <c r="I248" s="36">
        <v>953</v>
      </c>
      <c r="J248" s="36">
        <v>1298</v>
      </c>
      <c r="K248" s="36">
        <v>394</v>
      </c>
      <c r="L248" s="36">
        <v>1102</v>
      </c>
    </row>
    <row r="249" spans="1:12" x14ac:dyDescent="0.3">
      <c r="A249" s="153" t="s">
        <v>201</v>
      </c>
      <c r="B249" s="36">
        <v>1654</v>
      </c>
      <c r="C249" s="36">
        <v>1363</v>
      </c>
      <c r="D249" s="36">
        <v>1073</v>
      </c>
      <c r="E249" s="36">
        <v>3194</v>
      </c>
      <c r="F249" s="36">
        <v>1164</v>
      </c>
      <c r="G249" s="36">
        <v>1198</v>
      </c>
      <c r="H249" s="36">
        <v>1459</v>
      </c>
      <c r="I249" s="36">
        <v>1540</v>
      </c>
      <c r="J249" s="36">
        <v>1306</v>
      </c>
      <c r="K249" s="36">
        <v>636</v>
      </c>
      <c r="L249" s="36">
        <v>1514</v>
      </c>
    </row>
    <row r="250" spans="1:12" x14ac:dyDescent="0.3">
      <c r="A250" s="153" t="s">
        <v>202</v>
      </c>
      <c r="B250" s="36">
        <v>782</v>
      </c>
      <c r="C250" s="36">
        <v>822</v>
      </c>
      <c r="D250" s="36">
        <v>627</v>
      </c>
      <c r="E250" s="36">
        <v>1194</v>
      </c>
      <c r="F250" s="36">
        <v>709</v>
      </c>
      <c r="G250" s="36">
        <v>666</v>
      </c>
      <c r="H250" s="36">
        <v>1089</v>
      </c>
      <c r="I250" s="36">
        <v>728</v>
      </c>
      <c r="J250" s="36">
        <v>964</v>
      </c>
      <c r="K250" s="36">
        <v>395</v>
      </c>
      <c r="L250" s="36">
        <v>860</v>
      </c>
    </row>
    <row r="251" spans="1:12" x14ac:dyDescent="0.3">
      <c r="A251" s="153" t="s">
        <v>203</v>
      </c>
      <c r="B251" s="36">
        <v>847</v>
      </c>
      <c r="C251" s="36">
        <v>1286</v>
      </c>
      <c r="D251" s="36">
        <v>912</v>
      </c>
      <c r="E251" s="36">
        <v>2420</v>
      </c>
      <c r="F251" s="36">
        <v>813</v>
      </c>
      <c r="G251" s="36">
        <v>1159</v>
      </c>
      <c r="H251" s="36">
        <v>1255</v>
      </c>
      <c r="I251" s="36">
        <v>696</v>
      </c>
      <c r="J251" s="36">
        <v>1119</v>
      </c>
      <c r="K251" s="36">
        <v>519</v>
      </c>
      <c r="L251" s="36">
        <v>953</v>
      </c>
    </row>
    <row r="252" spans="1:12" x14ac:dyDescent="0.3">
      <c r="A252" s="153" t="s">
        <v>204</v>
      </c>
      <c r="B252" s="36">
        <v>925</v>
      </c>
      <c r="C252" s="36">
        <v>1926</v>
      </c>
      <c r="D252" s="36">
        <v>867</v>
      </c>
      <c r="E252" s="36">
        <v>2729</v>
      </c>
      <c r="F252" s="36">
        <v>1272</v>
      </c>
      <c r="G252" s="36">
        <v>1524</v>
      </c>
      <c r="H252" s="36">
        <v>2056</v>
      </c>
      <c r="I252" s="36">
        <v>1476</v>
      </c>
      <c r="J252" s="36">
        <v>1195</v>
      </c>
      <c r="K252" s="36">
        <v>708</v>
      </c>
      <c r="L252" s="36">
        <v>1492</v>
      </c>
    </row>
    <row r="253" spans="1:12" x14ac:dyDescent="0.3">
      <c r="A253" s="153" t="s">
        <v>205</v>
      </c>
      <c r="B253" s="36">
        <v>649</v>
      </c>
      <c r="C253" s="36">
        <v>1528</v>
      </c>
      <c r="D253" s="36">
        <v>412</v>
      </c>
      <c r="E253" s="36">
        <v>1358</v>
      </c>
      <c r="F253" s="36">
        <v>749</v>
      </c>
      <c r="G253" s="36">
        <v>759</v>
      </c>
      <c r="H253" s="36">
        <v>1339</v>
      </c>
      <c r="I253" s="36">
        <v>770</v>
      </c>
      <c r="J253" s="36">
        <v>644</v>
      </c>
      <c r="K253" s="36">
        <v>266</v>
      </c>
      <c r="L253" s="36">
        <v>1096</v>
      </c>
    </row>
    <row r="254" spans="1:12" x14ac:dyDescent="0.3">
      <c r="A254" s="153" t="s">
        <v>206</v>
      </c>
      <c r="B254" s="36">
        <v>271</v>
      </c>
      <c r="C254" s="36">
        <v>600</v>
      </c>
      <c r="D254" s="36">
        <v>292</v>
      </c>
      <c r="E254" s="36">
        <v>886</v>
      </c>
      <c r="F254" s="36">
        <v>319</v>
      </c>
      <c r="G254" s="36">
        <v>419</v>
      </c>
      <c r="H254" s="36">
        <v>632</v>
      </c>
      <c r="I254" s="36">
        <v>445</v>
      </c>
      <c r="J254" s="36">
        <v>410</v>
      </c>
      <c r="K254" s="36">
        <v>259</v>
      </c>
      <c r="L254" s="36">
        <v>673</v>
      </c>
    </row>
    <row r="255" spans="1:12" x14ac:dyDescent="0.3">
      <c r="A255" s="153" t="s">
        <v>207</v>
      </c>
      <c r="B255" s="36">
        <v>198</v>
      </c>
      <c r="C255" s="36">
        <v>524</v>
      </c>
      <c r="D255" s="36">
        <v>297</v>
      </c>
      <c r="E255" s="36">
        <v>828</v>
      </c>
      <c r="F255" s="36">
        <v>826</v>
      </c>
      <c r="G255" s="36">
        <v>841</v>
      </c>
      <c r="H255" s="36">
        <v>1180</v>
      </c>
      <c r="I255" s="36">
        <v>666</v>
      </c>
      <c r="J255" s="36">
        <v>567</v>
      </c>
      <c r="K255" s="36">
        <v>430</v>
      </c>
      <c r="L255" s="36">
        <v>997</v>
      </c>
    </row>
    <row r="257" spans="1:12" x14ac:dyDescent="0.3">
      <c r="A257" s="143" t="s">
        <v>47</v>
      </c>
      <c r="B257" s="36" t="s">
        <v>280</v>
      </c>
      <c r="C257" s="36" t="s">
        <v>281</v>
      </c>
      <c r="D257" s="36" t="s">
        <v>282</v>
      </c>
      <c r="E257" s="36" t="s">
        <v>283</v>
      </c>
      <c r="F257" s="36" t="s">
        <v>284</v>
      </c>
      <c r="G257" s="36" t="s">
        <v>285</v>
      </c>
      <c r="H257" s="36" t="s">
        <v>286</v>
      </c>
      <c r="I257" s="36" t="s">
        <v>287</v>
      </c>
      <c r="J257" s="36" t="s">
        <v>288</v>
      </c>
      <c r="K257" s="36" t="s">
        <v>289</v>
      </c>
      <c r="L257" s="36" t="s">
        <v>290</v>
      </c>
    </row>
    <row r="258" spans="1:12" x14ac:dyDescent="0.3">
      <c r="A258" s="12" t="s">
        <v>49</v>
      </c>
      <c r="B258">
        <v>1389</v>
      </c>
      <c r="C258">
        <v>1087</v>
      </c>
      <c r="D258">
        <v>2046</v>
      </c>
      <c r="E258">
        <v>6728</v>
      </c>
      <c r="F258">
        <v>2461</v>
      </c>
      <c r="G258">
        <v>1569</v>
      </c>
      <c r="H258">
        <v>2092</v>
      </c>
      <c r="I258">
        <v>1633</v>
      </c>
      <c r="J258">
        <v>3175</v>
      </c>
      <c r="K258">
        <v>1308</v>
      </c>
      <c r="L258">
        <v>2467</v>
      </c>
    </row>
    <row r="259" spans="1:12" x14ac:dyDescent="0.3">
      <c r="A259" s="12" t="s">
        <v>51</v>
      </c>
      <c r="B259">
        <f>SUM(B234:B235)</f>
        <v>2701</v>
      </c>
      <c r="C259">
        <f>SUM(C234:C235)</f>
        <v>1466</v>
      </c>
      <c r="D259">
        <f>SUM(D234:D235)</f>
        <v>3667</v>
      </c>
      <c r="E259">
        <f t="shared" ref="E259:L259" si="93">SUM(E234:E235)</f>
        <v>13208</v>
      </c>
      <c r="F259">
        <f t="shared" si="93"/>
        <v>5553</v>
      </c>
      <c r="G259">
        <f t="shared" si="93"/>
        <v>3750</v>
      </c>
      <c r="H259">
        <f t="shared" si="93"/>
        <v>5314</v>
      </c>
      <c r="I259">
        <f t="shared" si="93"/>
        <v>4702</v>
      </c>
      <c r="J259">
        <f t="shared" si="93"/>
        <v>8173</v>
      </c>
      <c r="K259">
        <f t="shared" si="93"/>
        <v>2012</v>
      </c>
      <c r="L259">
        <f t="shared" si="93"/>
        <v>4456</v>
      </c>
    </row>
    <row r="260" spans="1:12" x14ac:dyDescent="0.3">
      <c r="A260" s="12" t="s">
        <v>53</v>
      </c>
      <c r="B260">
        <f>SUM(B236:B240)</f>
        <v>5049</v>
      </c>
      <c r="C260">
        <f>SUM(C236:C240)</f>
        <v>2640</v>
      </c>
      <c r="D260">
        <f t="shared" ref="D260:L260" si="94">SUM(D236:D240)</f>
        <v>5013</v>
      </c>
      <c r="E260">
        <f>SUM(E236:E240)</f>
        <v>15710</v>
      </c>
      <c r="F260">
        <f t="shared" si="94"/>
        <v>5642</v>
      </c>
      <c r="G260">
        <f t="shared" si="94"/>
        <v>3947</v>
      </c>
      <c r="H260">
        <f t="shared" si="94"/>
        <v>3726</v>
      </c>
      <c r="I260">
        <f t="shared" si="94"/>
        <v>5476</v>
      </c>
      <c r="J260">
        <f t="shared" si="94"/>
        <v>8605</v>
      </c>
      <c r="K260">
        <f t="shared" si="94"/>
        <v>2070</v>
      </c>
      <c r="L260">
        <f t="shared" si="94"/>
        <v>7413</v>
      </c>
    </row>
    <row r="261" spans="1:12" x14ac:dyDescent="0.3">
      <c r="A261" s="12" t="s">
        <v>54</v>
      </c>
      <c r="B261">
        <f>SUM(B241:B244)</f>
        <v>17554</v>
      </c>
      <c r="C261">
        <f>SUM(C241:C244)</f>
        <v>10036</v>
      </c>
      <c r="D261">
        <f>SUM(D241:D244)</f>
        <v>14136</v>
      </c>
      <c r="E261">
        <f t="shared" ref="E261:L261" si="95">SUM(E241:E244)</f>
        <v>29051</v>
      </c>
      <c r="F261">
        <f t="shared" si="95"/>
        <v>12491</v>
      </c>
      <c r="G261">
        <f t="shared" si="95"/>
        <v>8650</v>
      </c>
      <c r="H261">
        <f t="shared" si="95"/>
        <v>9664</v>
      </c>
      <c r="I261">
        <f t="shared" si="95"/>
        <v>10321</v>
      </c>
      <c r="J261">
        <f t="shared" si="95"/>
        <v>16686</v>
      </c>
      <c r="K261">
        <f t="shared" si="95"/>
        <v>7877</v>
      </c>
      <c r="L261">
        <f t="shared" si="95"/>
        <v>11269</v>
      </c>
    </row>
    <row r="262" spans="1:12" x14ac:dyDescent="0.3">
      <c r="A262" s="12" t="s">
        <v>55</v>
      </c>
      <c r="B262">
        <f>SUM(B245:B249)</f>
        <v>9647</v>
      </c>
      <c r="C262">
        <f>SUM(C245:C249)</f>
        <v>9744</v>
      </c>
      <c r="D262">
        <f>SUM(D245:D249)</f>
        <v>9030</v>
      </c>
      <c r="E262">
        <f>SUM(E245:E249)</f>
        <v>22403</v>
      </c>
      <c r="F262">
        <f>SUM(F245:F249)</f>
        <v>9853</v>
      </c>
      <c r="G262">
        <f t="shared" ref="G262:L262" si="96">SUM(G245:G249)</f>
        <v>9869</v>
      </c>
      <c r="H262">
        <f t="shared" si="96"/>
        <v>11351</v>
      </c>
      <c r="I262">
        <f t="shared" si="96"/>
        <v>9393</v>
      </c>
      <c r="J262">
        <f t="shared" si="96"/>
        <v>12109</v>
      </c>
      <c r="K262">
        <f t="shared" si="96"/>
        <v>4879</v>
      </c>
      <c r="L262">
        <f t="shared" si="96"/>
        <v>11083</v>
      </c>
    </row>
    <row r="263" spans="1:12" x14ac:dyDescent="0.3">
      <c r="A263" s="12" t="s">
        <v>56</v>
      </c>
      <c r="B263">
        <f>SUM(B250:B252)</f>
        <v>2554</v>
      </c>
      <c r="C263">
        <f>SUM(C250:C252)</f>
        <v>4034</v>
      </c>
      <c r="D263">
        <f t="shared" ref="D263:L263" si="97">SUM(D250:D252)</f>
        <v>2406</v>
      </c>
      <c r="E263">
        <f t="shared" si="97"/>
        <v>6343</v>
      </c>
      <c r="F263">
        <f t="shared" si="97"/>
        <v>2794</v>
      </c>
      <c r="G263">
        <f t="shared" si="97"/>
        <v>3349</v>
      </c>
      <c r="H263">
        <f>SUM(H250:H252)</f>
        <v>4400</v>
      </c>
      <c r="I263">
        <f t="shared" si="97"/>
        <v>2900</v>
      </c>
      <c r="J263">
        <f t="shared" si="97"/>
        <v>3278</v>
      </c>
      <c r="K263">
        <f t="shared" si="97"/>
        <v>1622</v>
      </c>
      <c r="L263">
        <f t="shared" si="97"/>
        <v>3305</v>
      </c>
    </row>
    <row r="264" spans="1:12" x14ac:dyDescent="0.3">
      <c r="A264" s="12" t="s">
        <v>57</v>
      </c>
      <c r="B264">
        <f>SUM(B253:B255)</f>
        <v>1118</v>
      </c>
      <c r="C264">
        <f>SUM(C253:C255)</f>
        <v>2652</v>
      </c>
      <c r="D264">
        <f>SUM(D253:D255)</f>
        <v>1001</v>
      </c>
      <c r="E264">
        <f t="shared" ref="E264:L264" si="98">SUM(E253:E255)</f>
        <v>3072</v>
      </c>
      <c r="F264">
        <f t="shared" si="98"/>
        <v>1894</v>
      </c>
      <c r="G264">
        <f t="shared" si="98"/>
        <v>2019</v>
      </c>
      <c r="H264">
        <f t="shared" si="98"/>
        <v>3151</v>
      </c>
      <c r="I264">
        <f t="shared" si="98"/>
        <v>1881</v>
      </c>
      <c r="J264">
        <f t="shared" si="98"/>
        <v>1621</v>
      </c>
      <c r="K264">
        <f t="shared" si="98"/>
        <v>955</v>
      </c>
      <c r="L264">
        <f t="shared" si="98"/>
        <v>2766</v>
      </c>
    </row>
    <row r="265" spans="1:12" x14ac:dyDescent="0.3">
      <c r="A265" s="143" t="s">
        <v>83</v>
      </c>
      <c r="B265" s="36">
        <v>40012</v>
      </c>
      <c r="C265" s="36">
        <v>31659</v>
      </c>
      <c r="D265" s="36">
        <v>37299</v>
      </c>
      <c r="E265" s="36">
        <v>96515</v>
      </c>
      <c r="F265" s="36">
        <v>40688</v>
      </c>
      <c r="G265" s="36">
        <v>33153</v>
      </c>
      <c r="H265" s="36">
        <v>39698</v>
      </c>
      <c r="I265" s="36">
        <v>36306</v>
      </c>
      <c r="J265" s="36">
        <v>53647</v>
      </c>
      <c r="K265" s="36">
        <v>20723</v>
      </c>
      <c r="L265" s="36">
        <v>42759</v>
      </c>
    </row>
    <row r="267" spans="1:12" x14ac:dyDescent="0.3">
      <c r="A267" s="156" t="s">
        <v>291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x14ac:dyDescent="0.3">
      <c r="A268" s="152"/>
      <c r="B268" s="70">
        <v>90802</v>
      </c>
      <c r="C268" s="70">
        <v>90803</v>
      </c>
      <c r="D268" s="70">
        <v>90804</v>
      </c>
      <c r="E268" s="70">
        <v>90805</v>
      </c>
      <c r="F268" s="70">
        <v>90806</v>
      </c>
      <c r="G268" s="70">
        <v>90807</v>
      </c>
      <c r="H268" s="70">
        <v>90808</v>
      </c>
      <c r="I268" s="70">
        <v>90810</v>
      </c>
      <c r="J268" s="70">
        <v>90813</v>
      </c>
      <c r="K268" s="70">
        <v>90814</v>
      </c>
      <c r="L268" s="70">
        <v>90815</v>
      </c>
    </row>
    <row r="269" spans="1:12" x14ac:dyDescent="0.3">
      <c r="A269" s="154" t="s">
        <v>83</v>
      </c>
      <c r="B269" s="114">
        <v>39859</v>
      </c>
      <c r="C269" s="114">
        <v>31804</v>
      </c>
      <c r="D269" s="36">
        <v>38306</v>
      </c>
      <c r="E269" s="36">
        <v>94631</v>
      </c>
      <c r="F269" s="36">
        <v>39972</v>
      </c>
      <c r="G269" s="36">
        <v>33320</v>
      </c>
      <c r="H269" s="36">
        <v>39351</v>
      </c>
      <c r="I269" s="36">
        <v>35648</v>
      </c>
      <c r="J269" s="36">
        <v>51689</v>
      </c>
      <c r="K269" s="36">
        <v>20676</v>
      </c>
      <c r="L269" s="36">
        <v>43461</v>
      </c>
    </row>
    <row r="270" spans="1:12" x14ac:dyDescent="0.3">
      <c r="A270" s="153" t="s">
        <v>185</v>
      </c>
      <c r="B270">
        <v>1341</v>
      </c>
      <c r="C270">
        <v>1113</v>
      </c>
      <c r="D270">
        <v>2223</v>
      </c>
      <c r="E270">
        <v>5834</v>
      </c>
      <c r="F270">
        <v>2269</v>
      </c>
      <c r="G270">
        <v>1557</v>
      </c>
      <c r="H270">
        <v>2427</v>
      </c>
      <c r="I270">
        <v>1634</v>
      </c>
      <c r="J270">
        <v>2854</v>
      </c>
      <c r="K270">
        <v>1133</v>
      </c>
      <c r="L270">
        <v>2290</v>
      </c>
    </row>
    <row r="271" spans="1:12" x14ac:dyDescent="0.3">
      <c r="A271" s="153" t="s">
        <v>186</v>
      </c>
      <c r="B271">
        <v>1040</v>
      </c>
      <c r="C271">
        <v>565</v>
      </c>
      <c r="D271">
        <v>1755</v>
      </c>
      <c r="E271">
        <v>6344</v>
      </c>
      <c r="F271">
        <v>2160</v>
      </c>
      <c r="G271">
        <v>1861</v>
      </c>
      <c r="H271">
        <v>2503</v>
      </c>
      <c r="I271">
        <v>2220</v>
      </c>
      <c r="J271">
        <v>3473</v>
      </c>
      <c r="K271">
        <v>979</v>
      </c>
      <c r="L271">
        <v>1792</v>
      </c>
    </row>
    <row r="272" spans="1:12" x14ac:dyDescent="0.3">
      <c r="A272" s="153" t="s">
        <v>187</v>
      </c>
      <c r="B272">
        <v>1406</v>
      </c>
      <c r="C272">
        <v>815</v>
      </c>
      <c r="D272">
        <v>1952</v>
      </c>
      <c r="E272">
        <v>6955</v>
      </c>
      <c r="F272">
        <v>2820</v>
      </c>
      <c r="G272">
        <v>2103</v>
      </c>
      <c r="H272">
        <v>2500</v>
      </c>
      <c r="I272">
        <v>2322</v>
      </c>
      <c r="J272">
        <v>3943</v>
      </c>
      <c r="K272">
        <v>839</v>
      </c>
      <c r="L272">
        <v>2619</v>
      </c>
    </row>
    <row r="273" spans="1:12" x14ac:dyDescent="0.3">
      <c r="A273" s="153" t="s">
        <v>188</v>
      </c>
      <c r="B273">
        <v>1070</v>
      </c>
      <c r="C273">
        <v>839</v>
      </c>
      <c r="D273">
        <v>891</v>
      </c>
      <c r="E273">
        <v>5110</v>
      </c>
      <c r="F273">
        <v>1515</v>
      </c>
      <c r="G273">
        <v>1198</v>
      </c>
      <c r="H273">
        <v>1266</v>
      </c>
      <c r="I273">
        <v>1627</v>
      </c>
      <c r="J273">
        <v>2268</v>
      </c>
      <c r="K273">
        <v>642</v>
      </c>
      <c r="L273">
        <v>1661</v>
      </c>
    </row>
    <row r="274" spans="1:12" x14ac:dyDescent="0.3">
      <c r="A274" s="153" t="s">
        <v>189</v>
      </c>
      <c r="B274">
        <v>556</v>
      </c>
      <c r="C274">
        <v>631</v>
      </c>
      <c r="D274">
        <v>1211</v>
      </c>
      <c r="E274">
        <v>2753</v>
      </c>
      <c r="F274">
        <v>1189</v>
      </c>
      <c r="G274">
        <v>739</v>
      </c>
      <c r="H274">
        <v>694</v>
      </c>
      <c r="I274">
        <v>1096</v>
      </c>
      <c r="J274">
        <v>1512</v>
      </c>
      <c r="K274">
        <v>200</v>
      </c>
      <c r="L274">
        <v>2397</v>
      </c>
    </row>
    <row r="275" spans="1:12" x14ac:dyDescent="0.3">
      <c r="A275" s="153" t="s">
        <v>190</v>
      </c>
      <c r="B275">
        <v>207</v>
      </c>
      <c r="C275">
        <v>38</v>
      </c>
      <c r="D275">
        <v>464</v>
      </c>
      <c r="E275">
        <v>1557</v>
      </c>
      <c r="F275">
        <v>739</v>
      </c>
      <c r="G275">
        <v>411</v>
      </c>
      <c r="H275">
        <v>180</v>
      </c>
      <c r="I275">
        <v>296</v>
      </c>
      <c r="J275">
        <v>623</v>
      </c>
      <c r="K275">
        <v>113</v>
      </c>
      <c r="L275">
        <v>1043</v>
      </c>
    </row>
    <row r="276" spans="1:12" x14ac:dyDescent="0.3">
      <c r="A276" s="153" t="s">
        <v>191</v>
      </c>
      <c r="B276">
        <v>373</v>
      </c>
      <c r="C276">
        <v>136</v>
      </c>
      <c r="D276">
        <v>696</v>
      </c>
      <c r="E276">
        <v>1573</v>
      </c>
      <c r="F276">
        <v>501</v>
      </c>
      <c r="G276">
        <v>425</v>
      </c>
      <c r="H276">
        <v>277</v>
      </c>
      <c r="I276">
        <v>559</v>
      </c>
      <c r="J276">
        <v>894</v>
      </c>
      <c r="K276">
        <v>527</v>
      </c>
      <c r="L276">
        <v>957</v>
      </c>
    </row>
    <row r="277" spans="1:12" x14ac:dyDescent="0.3">
      <c r="A277" s="153" t="s">
        <v>192</v>
      </c>
      <c r="B277">
        <v>2377</v>
      </c>
      <c r="C277">
        <v>860</v>
      </c>
      <c r="D277">
        <v>1979</v>
      </c>
      <c r="E277">
        <v>4308</v>
      </c>
      <c r="F277">
        <v>1833</v>
      </c>
      <c r="G277">
        <v>863</v>
      </c>
      <c r="H277">
        <v>1120</v>
      </c>
      <c r="I277">
        <v>1125</v>
      </c>
      <c r="J277">
        <v>2522</v>
      </c>
      <c r="K277">
        <v>793</v>
      </c>
      <c r="L277">
        <v>1965</v>
      </c>
    </row>
    <row r="278" spans="1:12" x14ac:dyDescent="0.3">
      <c r="A278" s="153" t="s">
        <v>193</v>
      </c>
      <c r="B278">
        <v>4619</v>
      </c>
      <c r="C278">
        <v>2867</v>
      </c>
      <c r="D278">
        <v>4453</v>
      </c>
      <c r="E278">
        <v>7571</v>
      </c>
      <c r="F278">
        <v>3564</v>
      </c>
      <c r="G278">
        <v>2101</v>
      </c>
      <c r="H278">
        <v>1547</v>
      </c>
      <c r="I278">
        <v>2400</v>
      </c>
      <c r="J278">
        <v>4519</v>
      </c>
      <c r="K278">
        <v>1834</v>
      </c>
      <c r="L278">
        <v>2681</v>
      </c>
    </row>
    <row r="279" spans="1:12" x14ac:dyDescent="0.3">
      <c r="A279" s="153" t="s">
        <v>194</v>
      </c>
      <c r="B279">
        <v>6419</v>
      </c>
      <c r="C279">
        <v>2815</v>
      </c>
      <c r="D279">
        <v>4627</v>
      </c>
      <c r="E279">
        <v>7224</v>
      </c>
      <c r="F279">
        <v>2776</v>
      </c>
      <c r="G279">
        <v>2202</v>
      </c>
      <c r="H279">
        <v>2369</v>
      </c>
      <c r="I279">
        <v>2996</v>
      </c>
      <c r="J279">
        <v>4707</v>
      </c>
      <c r="K279">
        <v>2525</v>
      </c>
      <c r="L279">
        <v>2666</v>
      </c>
    </row>
    <row r="280" spans="1:12" x14ac:dyDescent="0.3">
      <c r="A280" s="153" t="s">
        <v>195</v>
      </c>
      <c r="B280">
        <v>3825</v>
      </c>
      <c r="C280">
        <v>2621</v>
      </c>
      <c r="D280">
        <v>2736</v>
      </c>
      <c r="E280">
        <v>6962</v>
      </c>
      <c r="F280">
        <v>3167</v>
      </c>
      <c r="G280">
        <v>2820</v>
      </c>
      <c r="H280">
        <v>2936</v>
      </c>
      <c r="I280">
        <v>2624</v>
      </c>
      <c r="J280">
        <v>3315</v>
      </c>
      <c r="K280">
        <v>2660</v>
      </c>
      <c r="L280">
        <v>2787</v>
      </c>
    </row>
    <row r="281" spans="1:12" x14ac:dyDescent="0.3">
      <c r="A281" s="153" t="s">
        <v>196</v>
      </c>
      <c r="B281">
        <v>3229</v>
      </c>
      <c r="C281">
        <v>1802</v>
      </c>
      <c r="D281">
        <v>2866</v>
      </c>
      <c r="E281">
        <v>6007</v>
      </c>
      <c r="F281">
        <v>2404</v>
      </c>
      <c r="G281">
        <v>1890</v>
      </c>
      <c r="H281">
        <v>2508</v>
      </c>
      <c r="I281">
        <v>2092</v>
      </c>
      <c r="J281">
        <v>3648</v>
      </c>
      <c r="K281">
        <v>1224</v>
      </c>
      <c r="L281">
        <v>2611</v>
      </c>
    </row>
    <row r="282" spans="1:12" x14ac:dyDescent="0.3">
      <c r="A282" s="153" t="s">
        <v>197</v>
      </c>
      <c r="B282">
        <v>2331</v>
      </c>
      <c r="C282">
        <v>2124</v>
      </c>
      <c r="D282">
        <v>2469</v>
      </c>
      <c r="E282">
        <v>5852</v>
      </c>
      <c r="F282">
        <v>2525</v>
      </c>
      <c r="G282">
        <v>2653</v>
      </c>
      <c r="H282">
        <v>2778</v>
      </c>
      <c r="I282">
        <v>1491</v>
      </c>
      <c r="J282">
        <v>2918</v>
      </c>
      <c r="K282">
        <v>1215</v>
      </c>
      <c r="L282">
        <v>3198</v>
      </c>
    </row>
    <row r="283" spans="1:12" x14ac:dyDescent="0.3">
      <c r="A283" s="153" t="s">
        <v>198</v>
      </c>
      <c r="B283">
        <v>2687</v>
      </c>
      <c r="C283">
        <v>2586</v>
      </c>
      <c r="D283">
        <v>2770</v>
      </c>
      <c r="E283">
        <v>6226</v>
      </c>
      <c r="F283">
        <v>2402</v>
      </c>
      <c r="G283">
        <v>2003</v>
      </c>
      <c r="H283">
        <v>2998</v>
      </c>
      <c r="I283">
        <v>2531</v>
      </c>
      <c r="J283">
        <v>3205</v>
      </c>
      <c r="K283">
        <v>1102</v>
      </c>
      <c r="L283">
        <v>2421</v>
      </c>
    </row>
    <row r="284" spans="1:12" x14ac:dyDescent="0.3">
      <c r="A284" s="153" t="s">
        <v>199</v>
      </c>
      <c r="B284">
        <v>2070</v>
      </c>
      <c r="C284">
        <v>2698</v>
      </c>
      <c r="D284">
        <v>1867</v>
      </c>
      <c r="E284">
        <v>5415</v>
      </c>
      <c r="F284">
        <v>2808</v>
      </c>
      <c r="G284">
        <v>2664</v>
      </c>
      <c r="H284">
        <v>2733</v>
      </c>
      <c r="I284">
        <v>2759</v>
      </c>
      <c r="J284">
        <v>3343</v>
      </c>
      <c r="K284">
        <v>1268</v>
      </c>
      <c r="L284">
        <v>3319</v>
      </c>
    </row>
    <row r="285" spans="1:12" x14ac:dyDescent="0.3">
      <c r="A285" s="153" t="s">
        <v>200</v>
      </c>
      <c r="B285">
        <v>798</v>
      </c>
      <c r="C285">
        <v>838</v>
      </c>
      <c r="D285">
        <v>984</v>
      </c>
      <c r="E285">
        <v>1821</v>
      </c>
      <c r="F285">
        <v>1184</v>
      </c>
      <c r="G285">
        <v>1025</v>
      </c>
      <c r="H285">
        <v>1183</v>
      </c>
      <c r="I285">
        <v>992</v>
      </c>
      <c r="J285">
        <v>1210</v>
      </c>
      <c r="K285">
        <v>466</v>
      </c>
      <c r="L285">
        <v>1115</v>
      </c>
    </row>
    <row r="286" spans="1:12" x14ac:dyDescent="0.3">
      <c r="A286" s="153" t="s">
        <v>201</v>
      </c>
      <c r="B286">
        <v>1724</v>
      </c>
      <c r="C286">
        <v>1427</v>
      </c>
      <c r="D286">
        <v>1008</v>
      </c>
      <c r="E286">
        <v>3358</v>
      </c>
      <c r="F286">
        <v>1223</v>
      </c>
      <c r="G286">
        <v>1149</v>
      </c>
      <c r="H286">
        <v>1343</v>
      </c>
      <c r="I286">
        <v>1708</v>
      </c>
      <c r="J286">
        <v>1195</v>
      </c>
      <c r="K286">
        <v>597</v>
      </c>
      <c r="L286">
        <v>1521</v>
      </c>
    </row>
    <row r="287" spans="1:12" x14ac:dyDescent="0.3">
      <c r="A287" s="153" t="s">
        <v>202</v>
      </c>
      <c r="B287">
        <v>853</v>
      </c>
      <c r="C287">
        <v>778</v>
      </c>
      <c r="D287">
        <v>647</v>
      </c>
      <c r="E287">
        <v>1144</v>
      </c>
      <c r="F287">
        <v>683</v>
      </c>
      <c r="G287">
        <v>751</v>
      </c>
      <c r="H287">
        <v>1128</v>
      </c>
      <c r="I287">
        <v>740</v>
      </c>
      <c r="J287">
        <v>986</v>
      </c>
      <c r="K287">
        <v>390</v>
      </c>
      <c r="L287">
        <v>761</v>
      </c>
    </row>
    <row r="288" spans="1:12" x14ac:dyDescent="0.3">
      <c r="A288" s="153" t="s">
        <v>203</v>
      </c>
      <c r="B288">
        <v>993</v>
      </c>
      <c r="C288">
        <v>1257</v>
      </c>
      <c r="D288">
        <v>832</v>
      </c>
      <c r="E288">
        <v>2590</v>
      </c>
      <c r="F288">
        <v>739</v>
      </c>
      <c r="G288">
        <v>1155</v>
      </c>
      <c r="H288">
        <v>1365</v>
      </c>
      <c r="I288">
        <v>838</v>
      </c>
      <c r="J288">
        <v>1321</v>
      </c>
      <c r="K288">
        <v>366</v>
      </c>
      <c r="L288">
        <v>1038</v>
      </c>
    </row>
    <row r="289" spans="1:12" x14ac:dyDescent="0.3">
      <c r="A289" s="153" t="s">
        <v>204</v>
      </c>
      <c r="B289">
        <v>921</v>
      </c>
      <c r="C289">
        <v>2114</v>
      </c>
      <c r="D289">
        <v>854</v>
      </c>
      <c r="E289">
        <v>2665</v>
      </c>
      <c r="F289">
        <v>1559</v>
      </c>
      <c r="G289">
        <v>1507</v>
      </c>
      <c r="H289">
        <v>2181</v>
      </c>
      <c r="I289">
        <v>1667</v>
      </c>
      <c r="J289">
        <v>1299</v>
      </c>
      <c r="K289">
        <v>822</v>
      </c>
      <c r="L289">
        <v>1752</v>
      </c>
    </row>
    <row r="290" spans="1:12" x14ac:dyDescent="0.3">
      <c r="A290" s="153" t="s">
        <v>205</v>
      </c>
      <c r="B290">
        <v>530</v>
      </c>
      <c r="C290">
        <v>1737</v>
      </c>
      <c r="D290">
        <v>424</v>
      </c>
      <c r="E290">
        <v>1625</v>
      </c>
      <c r="F290">
        <v>793</v>
      </c>
      <c r="G290">
        <v>870</v>
      </c>
      <c r="H290">
        <v>1376</v>
      </c>
      <c r="I290">
        <v>834</v>
      </c>
      <c r="J290">
        <v>840</v>
      </c>
      <c r="K290">
        <v>312</v>
      </c>
      <c r="L290">
        <v>1198</v>
      </c>
    </row>
    <row r="291" spans="1:12" x14ac:dyDescent="0.3">
      <c r="A291" s="153" t="s">
        <v>206</v>
      </c>
      <c r="B291">
        <v>286</v>
      </c>
      <c r="C291">
        <v>733</v>
      </c>
      <c r="D291">
        <v>337</v>
      </c>
      <c r="E291">
        <v>906</v>
      </c>
      <c r="F291">
        <v>354</v>
      </c>
      <c r="G291">
        <v>612</v>
      </c>
      <c r="H291">
        <v>764</v>
      </c>
      <c r="I291">
        <v>503</v>
      </c>
      <c r="J291">
        <v>522</v>
      </c>
      <c r="K291">
        <v>275</v>
      </c>
      <c r="L291">
        <v>701</v>
      </c>
    </row>
    <row r="292" spans="1:12" x14ac:dyDescent="0.3">
      <c r="A292" s="153" t="s">
        <v>207</v>
      </c>
      <c r="B292">
        <v>204</v>
      </c>
      <c r="C292">
        <v>410</v>
      </c>
      <c r="D292">
        <v>261</v>
      </c>
      <c r="E292">
        <v>831</v>
      </c>
      <c r="F292">
        <v>765</v>
      </c>
      <c r="G292">
        <v>761</v>
      </c>
      <c r="H292">
        <v>1175</v>
      </c>
      <c r="I292">
        <v>594</v>
      </c>
      <c r="J292">
        <v>572</v>
      </c>
      <c r="K292">
        <v>394</v>
      </c>
      <c r="L292">
        <v>968</v>
      </c>
    </row>
    <row r="293" spans="1:12" x14ac:dyDescent="0.3"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3">
      <c r="A294" s="143" t="s">
        <v>47</v>
      </c>
      <c r="B294" s="36" t="s">
        <v>292</v>
      </c>
      <c r="C294" s="36" t="s">
        <v>293</v>
      </c>
      <c r="D294" s="36" t="s">
        <v>294</v>
      </c>
      <c r="E294" s="36" t="s">
        <v>295</v>
      </c>
      <c r="F294" s="36" t="s">
        <v>296</v>
      </c>
      <c r="G294" s="36" t="s">
        <v>297</v>
      </c>
      <c r="H294" s="36" t="s">
        <v>298</v>
      </c>
      <c r="I294" s="36" t="s">
        <v>299</v>
      </c>
      <c r="J294" s="36" t="s">
        <v>300</v>
      </c>
      <c r="K294" s="36" t="s">
        <v>301</v>
      </c>
      <c r="L294" s="36" t="s">
        <v>302</v>
      </c>
    </row>
    <row r="295" spans="1:12" x14ac:dyDescent="0.3">
      <c r="A295" s="12" t="s">
        <v>49</v>
      </c>
      <c r="B295">
        <f t="shared" ref="B295:L295" si="99">(B270)</f>
        <v>1341</v>
      </c>
      <c r="C295">
        <f t="shared" si="99"/>
        <v>1113</v>
      </c>
      <c r="D295">
        <f t="shared" si="99"/>
        <v>2223</v>
      </c>
      <c r="E295">
        <f t="shared" si="99"/>
        <v>5834</v>
      </c>
      <c r="F295">
        <f t="shared" si="99"/>
        <v>2269</v>
      </c>
      <c r="G295">
        <f t="shared" si="99"/>
        <v>1557</v>
      </c>
      <c r="H295">
        <f t="shared" si="99"/>
        <v>2427</v>
      </c>
      <c r="I295">
        <f t="shared" si="99"/>
        <v>1634</v>
      </c>
      <c r="J295">
        <f t="shared" si="99"/>
        <v>2854</v>
      </c>
      <c r="K295">
        <f t="shared" si="99"/>
        <v>1133</v>
      </c>
      <c r="L295">
        <f t="shared" si="99"/>
        <v>2290</v>
      </c>
    </row>
    <row r="296" spans="1:12" x14ac:dyDescent="0.3">
      <c r="A296" s="12" t="s">
        <v>51</v>
      </c>
      <c r="B296">
        <f t="shared" ref="B296:L296" si="100">SUM(B271:B272)</f>
        <v>2446</v>
      </c>
      <c r="C296">
        <f t="shared" si="100"/>
        <v>1380</v>
      </c>
      <c r="D296">
        <f t="shared" si="100"/>
        <v>3707</v>
      </c>
      <c r="E296">
        <f t="shared" si="100"/>
        <v>13299</v>
      </c>
      <c r="F296">
        <f t="shared" si="100"/>
        <v>4980</v>
      </c>
      <c r="G296">
        <f t="shared" si="100"/>
        <v>3964</v>
      </c>
      <c r="H296">
        <f t="shared" si="100"/>
        <v>5003</v>
      </c>
      <c r="I296">
        <f t="shared" si="100"/>
        <v>4542</v>
      </c>
      <c r="J296">
        <f t="shared" si="100"/>
        <v>7416</v>
      </c>
      <c r="K296">
        <f t="shared" si="100"/>
        <v>1818</v>
      </c>
      <c r="L296">
        <f t="shared" si="100"/>
        <v>4411</v>
      </c>
    </row>
    <row r="297" spans="1:12" x14ac:dyDescent="0.3">
      <c r="A297" s="12" t="s">
        <v>53</v>
      </c>
      <c r="B297">
        <f t="shared" ref="B297:L297" si="101">SUM(B273:B277)</f>
        <v>4583</v>
      </c>
      <c r="C297">
        <f t="shared" si="101"/>
        <v>2504</v>
      </c>
      <c r="D297">
        <f t="shared" si="101"/>
        <v>5241</v>
      </c>
      <c r="E297">
        <f t="shared" si="101"/>
        <v>15301</v>
      </c>
      <c r="F297">
        <f t="shared" si="101"/>
        <v>5777</v>
      </c>
      <c r="G297">
        <f t="shared" si="101"/>
        <v>3636</v>
      </c>
      <c r="H297">
        <f t="shared" si="101"/>
        <v>3537</v>
      </c>
      <c r="I297">
        <f t="shared" si="101"/>
        <v>4703</v>
      </c>
      <c r="J297">
        <f t="shared" si="101"/>
        <v>7819</v>
      </c>
      <c r="K297">
        <f t="shared" si="101"/>
        <v>2275</v>
      </c>
      <c r="L297">
        <f t="shared" si="101"/>
        <v>8023</v>
      </c>
    </row>
    <row r="298" spans="1:12" x14ac:dyDescent="0.3">
      <c r="A298" s="12" t="s">
        <v>54</v>
      </c>
      <c r="B298">
        <f t="shared" ref="B298:L298" si="102">SUM(B278:B281)</f>
        <v>18092</v>
      </c>
      <c r="C298">
        <f t="shared" si="102"/>
        <v>10105</v>
      </c>
      <c r="D298">
        <f t="shared" si="102"/>
        <v>14682</v>
      </c>
      <c r="E298">
        <f t="shared" si="102"/>
        <v>27764</v>
      </c>
      <c r="F298">
        <f t="shared" si="102"/>
        <v>11911</v>
      </c>
      <c r="G298">
        <f t="shared" si="102"/>
        <v>9013</v>
      </c>
      <c r="H298">
        <f t="shared" si="102"/>
        <v>9360</v>
      </c>
      <c r="I298">
        <f t="shared" si="102"/>
        <v>10112</v>
      </c>
      <c r="J298">
        <f t="shared" si="102"/>
        <v>16189</v>
      </c>
      <c r="K298">
        <f t="shared" si="102"/>
        <v>8243</v>
      </c>
      <c r="L298">
        <f t="shared" si="102"/>
        <v>10745</v>
      </c>
    </row>
    <row r="299" spans="1:12" x14ac:dyDescent="0.3">
      <c r="A299" s="12" t="s">
        <v>55</v>
      </c>
      <c r="B299">
        <f t="shared" ref="B299:L299" si="103">SUM(B282:B286)</f>
        <v>9610</v>
      </c>
      <c r="C299">
        <f t="shared" si="103"/>
        <v>9673</v>
      </c>
      <c r="D299">
        <f t="shared" si="103"/>
        <v>9098</v>
      </c>
      <c r="E299">
        <f t="shared" si="103"/>
        <v>22672</v>
      </c>
      <c r="F299">
        <f t="shared" si="103"/>
        <v>10142</v>
      </c>
      <c r="G299">
        <f t="shared" si="103"/>
        <v>9494</v>
      </c>
      <c r="H299">
        <f t="shared" si="103"/>
        <v>11035</v>
      </c>
      <c r="I299">
        <f t="shared" si="103"/>
        <v>9481</v>
      </c>
      <c r="J299">
        <f t="shared" si="103"/>
        <v>11871</v>
      </c>
      <c r="K299">
        <f t="shared" si="103"/>
        <v>4648</v>
      </c>
      <c r="L299">
        <f t="shared" si="103"/>
        <v>11574</v>
      </c>
    </row>
    <row r="300" spans="1:12" x14ac:dyDescent="0.3">
      <c r="A300" s="12" t="s">
        <v>56</v>
      </c>
      <c r="B300">
        <f t="shared" ref="B300:L300" si="104">SUM(B287:B289)</f>
        <v>2767</v>
      </c>
      <c r="C300">
        <f t="shared" si="104"/>
        <v>4149</v>
      </c>
      <c r="D300">
        <f t="shared" si="104"/>
        <v>2333</v>
      </c>
      <c r="E300">
        <f t="shared" si="104"/>
        <v>6399</v>
      </c>
      <c r="F300">
        <f t="shared" si="104"/>
        <v>2981</v>
      </c>
      <c r="G300">
        <f t="shared" si="104"/>
        <v>3413</v>
      </c>
      <c r="H300">
        <f t="shared" si="104"/>
        <v>4674</v>
      </c>
      <c r="I300">
        <f t="shared" si="104"/>
        <v>3245</v>
      </c>
      <c r="J300">
        <f t="shared" si="104"/>
        <v>3606</v>
      </c>
      <c r="K300">
        <f t="shared" si="104"/>
        <v>1578</v>
      </c>
      <c r="L300">
        <f t="shared" si="104"/>
        <v>3551</v>
      </c>
    </row>
    <row r="301" spans="1:12" x14ac:dyDescent="0.3">
      <c r="A301" s="12" t="s">
        <v>57</v>
      </c>
      <c r="B301">
        <f t="shared" ref="B301:L301" si="105">SUM(B290:B292)</f>
        <v>1020</v>
      </c>
      <c r="C301">
        <f t="shared" si="105"/>
        <v>2880</v>
      </c>
      <c r="D301">
        <f t="shared" si="105"/>
        <v>1022</v>
      </c>
      <c r="E301">
        <f t="shared" si="105"/>
        <v>3362</v>
      </c>
      <c r="F301">
        <f t="shared" si="105"/>
        <v>1912</v>
      </c>
      <c r="G301">
        <f t="shared" si="105"/>
        <v>2243</v>
      </c>
      <c r="H301">
        <f t="shared" si="105"/>
        <v>3315</v>
      </c>
      <c r="I301">
        <f t="shared" si="105"/>
        <v>1931</v>
      </c>
      <c r="J301">
        <f t="shared" si="105"/>
        <v>1934</v>
      </c>
      <c r="K301">
        <f t="shared" si="105"/>
        <v>981</v>
      </c>
      <c r="L301">
        <f t="shared" si="105"/>
        <v>2867</v>
      </c>
    </row>
    <row r="302" spans="1:12" x14ac:dyDescent="0.3">
      <c r="A302" s="143" t="s">
        <v>83</v>
      </c>
      <c r="B302" s="36">
        <f t="shared" ref="B302:L302" si="106">SUM(B295:B301)</f>
        <v>39859</v>
      </c>
      <c r="C302" s="36">
        <f t="shared" si="106"/>
        <v>31804</v>
      </c>
      <c r="D302" s="36">
        <f t="shared" si="106"/>
        <v>38306</v>
      </c>
      <c r="E302" s="36">
        <f t="shared" si="106"/>
        <v>94631</v>
      </c>
      <c r="F302" s="36">
        <f t="shared" si="106"/>
        <v>39972</v>
      </c>
      <c r="G302" s="36">
        <f t="shared" si="106"/>
        <v>33320</v>
      </c>
      <c r="H302" s="36">
        <f t="shared" si="106"/>
        <v>39351</v>
      </c>
      <c r="I302" s="36">
        <f t="shared" si="106"/>
        <v>35648</v>
      </c>
      <c r="J302" s="36">
        <f t="shared" si="106"/>
        <v>51689</v>
      </c>
      <c r="K302" s="36">
        <f t="shared" si="106"/>
        <v>20676</v>
      </c>
      <c r="L302" s="36">
        <f t="shared" si="106"/>
        <v>43461</v>
      </c>
    </row>
    <row r="304" spans="1:12" x14ac:dyDescent="0.3">
      <c r="A304" s="152"/>
      <c r="B304" s="154" t="s">
        <v>303</v>
      </c>
    </row>
    <row r="305" spans="1:2" x14ac:dyDescent="0.3">
      <c r="A305" s="70">
        <v>90802</v>
      </c>
      <c r="B305" s="114">
        <v>39859</v>
      </c>
    </row>
    <row r="306" spans="1:2" x14ac:dyDescent="0.3">
      <c r="A306" s="70">
        <v>90803</v>
      </c>
      <c r="B306" s="114">
        <v>31804</v>
      </c>
    </row>
    <row r="307" spans="1:2" x14ac:dyDescent="0.3">
      <c r="A307" s="70">
        <v>90804</v>
      </c>
      <c r="B307" s="36">
        <v>38306</v>
      </c>
    </row>
    <row r="308" spans="1:2" x14ac:dyDescent="0.3">
      <c r="A308" s="70">
        <v>90805</v>
      </c>
      <c r="B308" s="36">
        <v>94631</v>
      </c>
    </row>
    <row r="309" spans="1:2" x14ac:dyDescent="0.3">
      <c r="A309" s="70">
        <v>90806</v>
      </c>
      <c r="B309" s="36">
        <v>39972</v>
      </c>
    </row>
    <row r="310" spans="1:2" x14ac:dyDescent="0.3">
      <c r="A310" s="70">
        <v>90807</v>
      </c>
      <c r="B310" s="36">
        <v>33320</v>
      </c>
    </row>
    <row r="311" spans="1:2" x14ac:dyDescent="0.3">
      <c r="A311" s="70">
        <v>90808</v>
      </c>
      <c r="B311" s="36">
        <v>39351</v>
      </c>
    </row>
    <row r="312" spans="1:2" x14ac:dyDescent="0.3">
      <c r="A312" s="70">
        <v>90810</v>
      </c>
      <c r="B312" s="36">
        <v>35648</v>
      </c>
    </row>
    <row r="313" spans="1:2" x14ac:dyDescent="0.3">
      <c r="A313" s="70">
        <v>90813</v>
      </c>
      <c r="B313" s="36">
        <v>51689</v>
      </c>
    </row>
    <row r="314" spans="1:2" x14ac:dyDescent="0.3">
      <c r="A314" s="70">
        <v>90814</v>
      </c>
      <c r="B314" s="36">
        <v>20676</v>
      </c>
    </row>
    <row r="315" spans="1:2" x14ac:dyDescent="0.3">
      <c r="A315" s="70">
        <v>90815</v>
      </c>
      <c r="B315" s="36">
        <v>43461</v>
      </c>
    </row>
    <row r="317" spans="1:2" x14ac:dyDescent="0.3">
      <c r="A317" s="152"/>
      <c r="B317" s="152">
        <v>2022</v>
      </c>
    </row>
    <row r="318" spans="1:2" x14ac:dyDescent="0.3">
      <c r="A318" s="70">
        <v>90802</v>
      </c>
      <c r="B318" s="80">
        <v>40012</v>
      </c>
    </row>
    <row r="319" spans="1:2" x14ac:dyDescent="0.3">
      <c r="A319" s="70">
        <v>90803</v>
      </c>
      <c r="B319" s="80">
        <v>31659</v>
      </c>
    </row>
    <row r="320" spans="1:2" x14ac:dyDescent="0.3">
      <c r="A320" s="70">
        <v>90804</v>
      </c>
      <c r="B320" s="80">
        <v>37299</v>
      </c>
    </row>
    <row r="321" spans="1:2" x14ac:dyDescent="0.3">
      <c r="A321" s="70">
        <v>90805</v>
      </c>
      <c r="B321" s="80">
        <v>96515</v>
      </c>
    </row>
    <row r="322" spans="1:2" x14ac:dyDescent="0.3">
      <c r="A322" s="70">
        <v>90806</v>
      </c>
      <c r="B322" s="80">
        <v>40688</v>
      </c>
    </row>
    <row r="323" spans="1:2" x14ac:dyDescent="0.3">
      <c r="A323" s="70">
        <v>90807</v>
      </c>
      <c r="B323" s="80">
        <v>33153</v>
      </c>
    </row>
    <row r="324" spans="1:2" x14ac:dyDescent="0.3">
      <c r="A324" s="70">
        <v>90808</v>
      </c>
      <c r="B324" s="80">
        <v>39698</v>
      </c>
    </row>
    <row r="325" spans="1:2" x14ac:dyDescent="0.3">
      <c r="A325" s="70">
        <v>90810</v>
      </c>
      <c r="B325" s="80">
        <v>36306</v>
      </c>
    </row>
    <row r="326" spans="1:2" x14ac:dyDescent="0.3">
      <c r="A326" s="70">
        <v>90813</v>
      </c>
      <c r="B326" s="80">
        <v>53647</v>
      </c>
    </row>
    <row r="327" spans="1:2" x14ac:dyDescent="0.3">
      <c r="A327" s="70">
        <v>90814</v>
      </c>
      <c r="B327" s="80">
        <v>20723</v>
      </c>
    </row>
    <row r="328" spans="1:2" x14ac:dyDescent="0.3">
      <c r="A328" s="70">
        <v>90815</v>
      </c>
      <c r="B328" s="80">
        <v>42759</v>
      </c>
    </row>
  </sheetData>
  <hyperlinks>
    <hyperlink ref="A2" r:id="rId1" xr:uid="{0991DA35-05D8-47A2-B878-3294D2B8EDFB}"/>
    <hyperlink ref="A267" r:id="rId2" xr:uid="{600D82D8-7402-422C-9DF0-BEB17149A74A}"/>
  </hyperlinks>
  <pageMargins left="0.7" right="0.7" top="0.75" bottom="0.75" header="0.3" footer="0.3"/>
  <ignoredErrors>
    <ignoredError sqref="B220:L226 B258:L26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2C0-D078-4DFB-B161-959BEE9D4D34}">
  <dimension ref="A1:AN246"/>
  <sheetViews>
    <sheetView zoomScale="90" zoomScaleNormal="90" workbookViewId="0">
      <selection activeCell="J247" sqref="J247:R270"/>
    </sheetView>
  </sheetViews>
  <sheetFormatPr defaultColWidth="8.77734375" defaultRowHeight="14.4" x14ac:dyDescent="0.3"/>
  <cols>
    <col min="1" max="1" width="18.44140625" bestFit="1" customWidth="1"/>
    <col min="2" max="3" width="11.77734375" bestFit="1" customWidth="1"/>
    <col min="4" max="4" width="11.77734375" style="36" bestFit="1" customWidth="1"/>
    <col min="5" max="6" width="11.77734375" bestFit="1" customWidth="1"/>
    <col min="7" max="7" width="11.77734375" style="36" bestFit="1" customWidth="1"/>
    <col min="8" max="9" width="11.77734375" bestFit="1" customWidth="1"/>
    <col min="10" max="10" width="11.77734375" style="36" bestFit="1" customWidth="1"/>
    <col min="11" max="12" width="11.77734375" bestFit="1" customWidth="1"/>
    <col min="13" max="13" width="11.77734375" style="36" bestFit="1" customWidth="1"/>
    <col min="14" max="15" width="11.77734375" bestFit="1" customWidth="1"/>
    <col min="16" max="16" width="11.77734375" style="36" bestFit="1" customWidth="1"/>
    <col min="17" max="18" width="11.77734375" bestFit="1" customWidth="1"/>
    <col min="19" max="19" width="11.77734375" style="36" bestFit="1" customWidth="1"/>
    <col min="20" max="21" width="11.77734375" bestFit="1" customWidth="1"/>
    <col min="22" max="22" width="11.77734375" style="36" bestFit="1" customWidth="1"/>
    <col min="23" max="24" width="11.77734375" bestFit="1" customWidth="1"/>
    <col min="25" max="25" width="11.77734375" style="36" bestFit="1" customWidth="1"/>
    <col min="26" max="27" width="11.77734375" bestFit="1" customWidth="1"/>
    <col min="28" max="28" width="11.77734375" style="36" bestFit="1" customWidth="1"/>
    <col min="29" max="29" width="10.77734375" bestFit="1" customWidth="1"/>
    <col min="30" max="30" width="11.77734375" bestFit="1" customWidth="1"/>
    <col min="31" max="31" width="11.77734375" style="36" bestFit="1" customWidth="1"/>
    <col min="32" max="33" width="11.77734375" bestFit="1" customWidth="1"/>
    <col min="34" max="34" width="11.77734375" style="36" bestFit="1" customWidth="1"/>
    <col min="35" max="40" width="13" bestFit="1" customWidth="1"/>
  </cols>
  <sheetData>
    <row r="1" spans="1:34" x14ac:dyDescent="0.3">
      <c r="A1" t="s">
        <v>182</v>
      </c>
    </row>
    <row r="2" spans="1:34" x14ac:dyDescent="0.3">
      <c r="A2" s="11" t="s">
        <v>183</v>
      </c>
    </row>
    <row r="3" spans="1:34" x14ac:dyDescent="0.3">
      <c r="A3" s="36" t="s">
        <v>184</v>
      </c>
    </row>
    <row r="4" spans="1:34" x14ac:dyDescent="0.3">
      <c r="B4" s="171">
        <v>90802</v>
      </c>
      <c r="C4" s="171"/>
      <c r="D4" s="65"/>
      <c r="E4" s="171">
        <v>90803</v>
      </c>
      <c r="F4" s="171"/>
      <c r="G4" s="65"/>
      <c r="H4" s="171">
        <v>90804</v>
      </c>
      <c r="I4" s="171"/>
      <c r="J4" s="65"/>
      <c r="K4" s="171">
        <v>90805</v>
      </c>
      <c r="L4" s="171"/>
      <c r="M4" s="65"/>
      <c r="N4" s="171">
        <v>90806</v>
      </c>
      <c r="O4" s="171"/>
      <c r="P4" s="65"/>
      <c r="Q4" s="171">
        <v>90807</v>
      </c>
      <c r="R4" s="171"/>
      <c r="S4" s="65"/>
      <c r="T4" s="171">
        <v>90808</v>
      </c>
      <c r="U4" s="171"/>
      <c r="V4" s="65"/>
      <c r="W4" s="171">
        <v>90810</v>
      </c>
      <c r="X4" s="171"/>
      <c r="Y4" s="65"/>
      <c r="Z4" s="171">
        <v>90813</v>
      </c>
      <c r="AA4" s="171"/>
      <c r="AB4" s="65"/>
      <c r="AC4" s="171">
        <v>90814</v>
      </c>
      <c r="AD4" s="171"/>
      <c r="AE4" s="65"/>
      <c r="AF4" s="171">
        <v>90815</v>
      </c>
      <c r="AG4" s="171"/>
      <c r="AH4" s="65"/>
    </row>
    <row r="5" spans="1:34" x14ac:dyDescent="0.3">
      <c r="B5" s="162" t="s">
        <v>81</v>
      </c>
      <c r="C5" s="162" t="s">
        <v>82</v>
      </c>
      <c r="D5" s="65" t="s">
        <v>83</v>
      </c>
      <c r="E5" s="162" t="s">
        <v>81</v>
      </c>
      <c r="F5" s="162" t="s">
        <v>82</v>
      </c>
      <c r="G5" s="65" t="s">
        <v>83</v>
      </c>
      <c r="H5" s="162" t="s">
        <v>81</v>
      </c>
      <c r="I5" s="162" t="s">
        <v>82</v>
      </c>
      <c r="J5" s="65" t="s">
        <v>83</v>
      </c>
      <c r="K5" s="162" t="s">
        <v>81</v>
      </c>
      <c r="L5" s="162" t="s">
        <v>82</v>
      </c>
      <c r="M5" s="65" t="s">
        <v>83</v>
      </c>
      <c r="N5" s="162" t="s">
        <v>81</v>
      </c>
      <c r="O5" s="162" t="s">
        <v>82</v>
      </c>
      <c r="P5" s="65" t="s">
        <v>83</v>
      </c>
      <c r="Q5" s="162" t="s">
        <v>81</v>
      </c>
      <c r="R5" s="162" t="s">
        <v>82</v>
      </c>
      <c r="S5" s="65" t="s">
        <v>83</v>
      </c>
      <c r="T5" s="162" t="s">
        <v>81</v>
      </c>
      <c r="U5" s="162" t="s">
        <v>82</v>
      </c>
      <c r="V5" s="65" t="s">
        <v>83</v>
      </c>
      <c r="W5" s="162" t="s">
        <v>81</v>
      </c>
      <c r="X5" s="162" t="s">
        <v>82</v>
      </c>
      <c r="Y5" s="65" t="s">
        <v>83</v>
      </c>
      <c r="Z5" s="162" t="s">
        <v>81</v>
      </c>
      <c r="AA5" s="162" t="s">
        <v>82</v>
      </c>
      <c r="AB5" s="65" t="s">
        <v>83</v>
      </c>
      <c r="AC5" s="162" t="s">
        <v>81</v>
      </c>
      <c r="AD5" s="162" t="s">
        <v>82</v>
      </c>
      <c r="AE5" s="65" t="s">
        <v>83</v>
      </c>
      <c r="AF5" s="162" t="s">
        <v>81</v>
      </c>
      <c r="AG5" s="162" t="s">
        <v>304</v>
      </c>
      <c r="AH5" s="65" t="s">
        <v>83</v>
      </c>
    </row>
    <row r="6" spans="1:34" x14ac:dyDescent="0.3">
      <c r="A6" t="s">
        <v>83</v>
      </c>
      <c r="B6">
        <v>21152</v>
      </c>
      <c r="C6">
        <v>18721</v>
      </c>
      <c r="D6" s="36">
        <f>SUM(B6:C6)</f>
        <v>39873</v>
      </c>
      <c r="E6">
        <v>15416</v>
      </c>
      <c r="F6">
        <v>16264</v>
      </c>
      <c r="G6" s="36">
        <f>SUM(E6:F6)</f>
        <v>31680</v>
      </c>
      <c r="H6">
        <v>19934</v>
      </c>
      <c r="I6">
        <v>20817</v>
      </c>
      <c r="J6" s="36">
        <f>SUM(H6:I6)</f>
        <v>40751</v>
      </c>
      <c r="K6">
        <v>47186</v>
      </c>
      <c r="L6">
        <v>48622</v>
      </c>
      <c r="M6" s="36">
        <f>SUM(K6:L6)</f>
        <v>95808</v>
      </c>
      <c r="N6">
        <v>20573</v>
      </c>
      <c r="O6">
        <v>21739</v>
      </c>
      <c r="P6" s="36">
        <f>SUM(N6:O6)</f>
        <v>42312</v>
      </c>
      <c r="Q6">
        <v>16029</v>
      </c>
      <c r="R6">
        <v>17188</v>
      </c>
      <c r="S6" s="36">
        <f>SUM(Q6:R6)</f>
        <v>33217</v>
      </c>
      <c r="T6">
        <v>18800</v>
      </c>
      <c r="U6">
        <v>19837</v>
      </c>
      <c r="V6" s="36">
        <f>SUM(T6:U6)</f>
        <v>38637</v>
      </c>
      <c r="W6">
        <v>18572</v>
      </c>
      <c r="X6">
        <v>18850</v>
      </c>
      <c r="Y6" s="36">
        <f>SUM(W6:X6)</f>
        <v>37422</v>
      </c>
      <c r="Z6">
        <v>30170</v>
      </c>
      <c r="AA6">
        <v>30827</v>
      </c>
      <c r="AB6" s="36">
        <f>SUM(Z6:AA6)</f>
        <v>60997</v>
      </c>
      <c r="AC6">
        <v>9141</v>
      </c>
      <c r="AD6">
        <v>9619</v>
      </c>
      <c r="AE6" s="36">
        <f>SUM(AC6:AD6)</f>
        <v>18760</v>
      </c>
      <c r="AF6">
        <v>19444</v>
      </c>
      <c r="AG6">
        <v>20378</v>
      </c>
      <c r="AH6" s="36">
        <f>SUM(AF6:AG6)</f>
        <v>39822</v>
      </c>
    </row>
    <row r="7" spans="1:34" x14ac:dyDescent="0.3">
      <c r="A7" t="s">
        <v>185</v>
      </c>
      <c r="B7">
        <v>1098</v>
      </c>
      <c r="C7">
        <v>1094</v>
      </c>
      <c r="D7" s="36">
        <f t="shared" ref="D7:D29" si="0">SUM(B7:C7)</f>
        <v>2192</v>
      </c>
      <c r="E7">
        <v>337</v>
      </c>
      <c r="F7">
        <v>423</v>
      </c>
      <c r="G7" s="36">
        <f t="shared" ref="G7:G29" si="1">SUM(E7:F7)</f>
        <v>760</v>
      </c>
      <c r="H7">
        <v>1584</v>
      </c>
      <c r="I7">
        <v>1332</v>
      </c>
      <c r="J7" s="36">
        <f t="shared" ref="J7:J29" si="2">SUM(H7:I7)</f>
        <v>2916</v>
      </c>
      <c r="K7">
        <v>4238</v>
      </c>
      <c r="L7">
        <v>3938</v>
      </c>
      <c r="M7" s="36">
        <f t="shared" ref="M7:M29" si="3">SUM(K7:L7)</f>
        <v>8176</v>
      </c>
      <c r="N7">
        <v>1727</v>
      </c>
      <c r="O7">
        <v>1488</v>
      </c>
      <c r="P7" s="36">
        <f t="shared" ref="P7:P29" si="4">SUM(N7:O7)</f>
        <v>3215</v>
      </c>
      <c r="Q7">
        <v>1219</v>
      </c>
      <c r="R7">
        <v>1296</v>
      </c>
      <c r="S7" s="36">
        <f t="shared" ref="S7:S29" si="5">SUM(Q7:R7)</f>
        <v>2515</v>
      </c>
      <c r="T7">
        <v>965</v>
      </c>
      <c r="U7">
        <v>1080</v>
      </c>
      <c r="V7" s="36">
        <f t="shared" ref="V7:V29" si="6">SUM(T7:U7)</f>
        <v>2045</v>
      </c>
      <c r="W7">
        <v>1550</v>
      </c>
      <c r="X7">
        <v>1234</v>
      </c>
      <c r="Y7" s="36">
        <f t="shared" ref="Y7:Y29" si="7">SUM(W7:X7)</f>
        <v>2784</v>
      </c>
      <c r="Z7">
        <v>3374</v>
      </c>
      <c r="AA7">
        <v>2986</v>
      </c>
      <c r="AB7" s="36">
        <f t="shared" ref="AB7:AB29" si="8">SUM(Z7:AA7)</f>
        <v>6360</v>
      </c>
      <c r="AC7">
        <v>442</v>
      </c>
      <c r="AD7">
        <v>399</v>
      </c>
      <c r="AE7" s="36">
        <f t="shared" ref="AE7:AE29" si="9">SUM(AC7:AD7)</f>
        <v>841</v>
      </c>
      <c r="AF7">
        <v>1080</v>
      </c>
      <c r="AG7">
        <v>1189</v>
      </c>
      <c r="AH7" s="36">
        <f t="shared" ref="AH7:AH29" si="10">SUM(AF7:AG7)</f>
        <v>2269</v>
      </c>
    </row>
    <row r="8" spans="1:34" x14ac:dyDescent="0.3">
      <c r="A8" t="s">
        <v>186</v>
      </c>
      <c r="B8">
        <v>792</v>
      </c>
      <c r="C8">
        <v>629</v>
      </c>
      <c r="D8" s="36">
        <f t="shared" si="0"/>
        <v>1421</v>
      </c>
      <c r="E8">
        <v>420</v>
      </c>
      <c r="F8">
        <v>829</v>
      </c>
      <c r="G8" s="36">
        <f t="shared" si="1"/>
        <v>1249</v>
      </c>
      <c r="H8">
        <v>1534</v>
      </c>
      <c r="I8">
        <v>1202</v>
      </c>
      <c r="J8" s="36">
        <f t="shared" si="2"/>
        <v>2736</v>
      </c>
      <c r="K8">
        <v>4388</v>
      </c>
      <c r="L8">
        <v>3639</v>
      </c>
      <c r="M8" s="36">
        <f t="shared" si="3"/>
        <v>8027</v>
      </c>
      <c r="N8">
        <v>1637</v>
      </c>
      <c r="O8">
        <v>1476</v>
      </c>
      <c r="P8" s="36">
        <f t="shared" si="4"/>
        <v>3113</v>
      </c>
      <c r="Q8">
        <v>1102</v>
      </c>
      <c r="R8">
        <v>637</v>
      </c>
      <c r="S8" s="36">
        <f t="shared" si="5"/>
        <v>1739</v>
      </c>
      <c r="T8">
        <v>942</v>
      </c>
      <c r="U8">
        <v>1284</v>
      </c>
      <c r="V8" s="36">
        <f t="shared" si="6"/>
        <v>2226</v>
      </c>
      <c r="W8">
        <v>1568</v>
      </c>
      <c r="X8">
        <v>1119</v>
      </c>
      <c r="Y8" s="36">
        <f t="shared" si="7"/>
        <v>2687</v>
      </c>
      <c r="Z8">
        <v>2694</v>
      </c>
      <c r="AA8">
        <v>2796</v>
      </c>
      <c r="AB8" s="36">
        <f t="shared" si="8"/>
        <v>5490</v>
      </c>
      <c r="AC8">
        <v>418</v>
      </c>
      <c r="AD8">
        <v>376</v>
      </c>
      <c r="AE8" s="36">
        <f t="shared" si="9"/>
        <v>794</v>
      </c>
      <c r="AF8">
        <v>1013</v>
      </c>
      <c r="AG8">
        <v>758</v>
      </c>
      <c r="AH8" s="36">
        <f t="shared" si="10"/>
        <v>1771</v>
      </c>
    </row>
    <row r="9" spans="1:34" x14ac:dyDescent="0.3">
      <c r="A9" s="12" t="s">
        <v>187</v>
      </c>
      <c r="B9">
        <v>838</v>
      </c>
      <c r="C9">
        <v>753</v>
      </c>
      <c r="D9" s="36">
        <f t="shared" si="0"/>
        <v>1591</v>
      </c>
      <c r="E9">
        <v>542</v>
      </c>
      <c r="F9">
        <v>474</v>
      </c>
      <c r="G9" s="36">
        <f t="shared" si="1"/>
        <v>1016</v>
      </c>
      <c r="H9">
        <v>1075</v>
      </c>
      <c r="I9">
        <v>895</v>
      </c>
      <c r="J9" s="36">
        <f t="shared" si="2"/>
        <v>1970</v>
      </c>
      <c r="K9">
        <v>3669</v>
      </c>
      <c r="L9">
        <v>3535</v>
      </c>
      <c r="M9" s="36">
        <f t="shared" si="3"/>
        <v>7204</v>
      </c>
      <c r="N9">
        <v>1655</v>
      </c>
      <c r="O9">
        <v>1534</v>
      </c>
      <c r="P9" s="36">
        <f t="shared" si="4"/>
        <v>3189</v>
      </c>
      <c r="Q9">
        <v>907</v>
      </c>
      <c r="R9">
        <v>883</v>
      </c>
      <c r="S9" s="36">
        <f t="shared" si="5"/>
        <v>1790</v>
      </c>
      <c r="T9">
        <v>1179</v>
      </c>
      <c r="U9">
        <v>1071</v>
      </c>
      <c r="V9" s="36">
        <f t="shared" si="6"/>
        <v>2250</v>
      </c>
      <c r="W9">
        <v>1404</v>
      </c>
      <c r="X9">
        <v>1229</v>
      </c>
      <c r="Y9" s="36">
        <f t="shared" si="7"/>
        <v>2633</v>
      </c>
      <c r="Z9">
        <v>2416</v>
      </c>
      <c r="AA9">
        <v>2638</v>
      </c>
      <c r="AB9" s="36">
        <f t="shared" si="8"/>
        <v>5054</v>
      </c>
      <c r="AC9">
        <v>438</v>
      </c>
      <c r="AD9">
        <v>348</v>
      </c>
      <c r="AE9" s="36">
        <f t="shared" si="9"/>
        <v>786</v>
      </c>
      <c r="AF9">
        <v>960</v>
      </c>
      <c r="AG9">
        <v>1010</v>
      </c>
      <c r="AH9" s="36">
        <f t="shared" si="10"/>
        <v>1970</v>
      </c>
    </row>
    <row r="10" spans="1:34" x14ac:dyDescent="0.3">
      <c r="A10" t="s">
        <v>188</v>
      </c>
      <c r="B10">
        <v>449</v>
      </c>
      <c r="C10">
        <v>684</v>
      </c>
      <c r="D10" s="36">
        <f t="shared" si="0"/>
        <v>1133</v>
      </c>
      <c r="E10">
        <v>367</v>
      </c>
      <c r="F10">
        <v>414</v>
      </c>
      <c r="G10" s="36">
        <f t="shared" si="1"/>
        <v>781</v>
      </c>
      <c r="H10">
        <v>917</v>
      </c>
      <c r="I10">
        <v>834</v>
      </c>
      <c r="J10" s="36">
        <f t="shared" si="2"/>
        <v>1751</v>
      </c>
      <c r="K10">
        <v>2348</v>
      </c>
      <c r="L10">
        <v>2829</v>
      </c>
      <c r="M10" s="36">
        <f t="shared" si="3"/>
        <v>5177</v>
      </c>
      <c r="N10">
        <v>862</v>
      </c>
      <c r="O10">
        <v>1110</v>
      </c>
      <c r="P10" s="36">
        <f t="shared" si="4"/>
        <v>1972</v>
      </c>
      <c r="Q10">
        <v>436</v>
      </c>
      <c r="R10">
        <v>819</v>
      </c>
      <c r="S10" s="36">
        <f t="shared" si="5"/>
        <v>1255</v>
      </c>
      <c r="T10">
        <v>872</v>
      </c>
      <c r="U10">
        <v>669</v>
      </c>
      <c r="V10" s="36">
        <f t="shared" si="6"/>
        <v>1541</v>
      </c>
      <c r="W10">
        <v>982</v>
      </c>
      <c r="X10">
        <v>996</v>
      </c>
      <c r="Y10" s="36">
        <f t="shared" si="7"/>
        <v>1978</v>
      </c>
      <c r="Z10">
        <v>1708</v>
      </c>
      <c r="AA10">
        <v>1578</v>
      </c>
      <c r="AB10" s="36">
        <f t="shared" si="8"/>
        <v>3286</v>
      </c>
      <c r="AC10">
        <v>178</v>
      </c>
      <c r="AD10">
        <v>305</v>
      </c>
      <c r="AE10" s="36">
        <f t="shared" si="9"/>
        <v>483</v>
      </c>
      <c r="AF10">
        <v>637</v>
      </c>
      <c r="AG10">
        <v>685</v>
      </c>
      <c r="AH10" s="36">
        <f t="shared" si="10"/>
        <v>1322</v>
      </c>
    </row>
    <row r="11" spans="1:34" x14ac:dyDescent="0.3">
      <c r="A11" t="s">
        <v>189</v>
      </c>
      <c r="B11">
        <v>292</v>
      </c>
      <c r="C11">
        <v>293</v>
      </c>
      <c r="D11" s="36">
        <f t="shared" si="0"/>
        <v>585</v>
      </c>
      <c r="E11">
        <v>118</v>
      </c>
      <c r="F11">
        <v>115</v>
      </c>
      <c r="G11" s="36">
        <f t="shared" si="1"/>
        <v>233</v>
      </c>
      <c r="H11">
        <v>556</v>
      </c>
      <c r="I11">
        <v>538</v>
      </c>
      <c r="J11" s="36">
        <f t="shared" si="2"/>
        <v>1094</v>
      </c>
      <c r="K11">
        <v>1277</v>
      </c>
      <c r="L11">
        <v>1373</v>
      </c>
      <c r="M11" s="36">
        <f t="shared" si="3"/>
        <v>2650</v>
      </c>
      <c r="N11">
        <v>723</v>
      </c>
      <c r="O11">
        <v>747</v>
      </c>
      <c r="P11" s="36">
        <f t="shared" si="4"/>
        <v>1470</v>
      </c>
      <c r="Q11">
        <v>291</v>
      </c>
      <c r="R11">
        <v>197</v>
      </c>
      <c r="S11" s="36">
        <f t="shared" si="5"/>
        <v>488</v>
      </c>
      <c r="T11">
        <v>420</v>
      </c>
      <c r="U11">
        <v>504</v>
      </c>
      <c r="V11" s="36">
        <f t="shared" si="6"/>
        <v>924</v>
      </c>
      <c r="W11">
        <v>645</v>
      </c>
      <c r="X11">
        <v>597</v>
      </c>
      <c r="Y11" s="36">
        <f t="shared" si="7"/>
        <v>1242</v>
      </c>
      <c r="Z11">
        <v>943</v>
      </c>
      <c r="AA11">
        <v>789</v>
      </c>
      <c r="AB11" s="36">
        <f t="shared" si="8"/>
        <v>1732</v>
      </c>
      <c r="AC11">
        <v>176</v>
      </c>
      <c r="AD11">
        <v>224</v>
      </c>
      <c r="AE11" s="36">
        <f t="shared" si="9"/>
        <v>400</v>
      </c>
      <c r="AF11">
        <v>1101</v>
      </c>
      <c r="AG11">
        <v>1321</v>
      </c>
      <c r="AH11" s="36">
        <f t="shared" si="10"/>
        <v>2422</v>
      </c>
    </row>
    <row r="12" spans="1:34" x14ac:dyDescent="0.3">
      <c r="A12" t="s">
        <v>190</v>
      </c>
      <c r="B12">
        <v>554</v>
      </c>
      <c r="C12">
        <v>120</v>
      </c>
      <c r="D12" s="36">
        <f t="shared" si="0"/>
        <v>674</v>
      </c>
      <c r="E12">
        <v>122</v>
      </c>
      <c r="F12">
        <v>73</v>
      </c>
      <c r="G12" s="36">
        <f t="shared" si="1"/>
        <v>195</v>
      </c>
      <c r="H12">
        <v>430</v>
      </c>
      <c r="I12">
        <v>439</v>
      </c>
      <c r="J12" s="36">
        <f t="shared" si="2"/>
        <v>869</v>
      </c>
      <c r="K12">
        <v>806</v>
      </c>
      <c r="L12">
        <v>1031</v>
      </c>
      <c r="M12" s="36">
        <f t="shared" si="3"/>
        <v>1837</v>
      </c>
      <c r="N12">
        <v>341</v>
      </c>
      <c r="O12">
        <v>291</v>
      </c>
      <c r="P12" s="36">
        <f t="shared" si="4"/>
        <v>632</v>
      </c>
      <c r="Q12">
        <v>224</v>
      </c>
      <c r="R12">
        <v>180</v>
      </c>
      <c r="S12" s="36">
        <f t="shared" si="5"/>
        <v>404</v>
      </c>
      <c r="T12">
        <v>224</v>
      </c>
      <c r="U12">
        <v>132</v>
      </c>
      <c r="V12" s="36">
        <f t="shared" si="6"/>
        <v>356</v>
      </c>
      <c r="W12">
        <v>265</v>
      </c>
      <c r="X12">
        <v>253</v>
      </c>
      <c r="Y12" s="36">
        <f t="shared" si="7"/>
        <v>518</v>
      </c>
      <c r="Z12">
        <v>495</v>
      </c>
      <c r="AA12">
        <v>562</v>
      </c>
      <c r="AB12" s="36">
        <f t="shared" si="8"/>
        <v>1057</v>
      </c>
      <c r="AC12">
        <v>136</v>
      </c>
      <c r="AD12">
        <v>95</v>
      </c>
      <c r="AE12" s="36">
        <f t="shared" si="9"/>
        <v>231</v>
      </c>
      <c r="AF12">
        <v>488</v>
      </c>
      <c r="AG12">
        <v>538</v>
      </c>
      <c r="AH12" s="36">
        <f t="shared" si="10"/>
        <v>1026</v>
      </c>
    </row>
    <row r="13" spans="1:34" x14ac:dyDescent="0.3">
      <c r="A13" t="s">
        <v>191</v>
      </c>
      <c r="B13">
        <v>150</v>
      </c>
      <c r="C13">
        <v>235</v>
      </c>
      <c r="D13" s="36">
        <f t="shared" si="0"/>
        <v>385</v>
      </c>
      <c r="E13">
        <v>194</v>
      </c>
      <c r="F13">
        <v>68</v>
      </c>
      <c r="G13" s="36">
        <f t="shared" si="1"/>
        <v>262</v>
      </c>
      <c r="H13">
        <v>677</v>
      </c>
      <c r="I13">
        <v>495</v>
      </c>
      <c r="J13" s="36">
        <f t="shared" si="2"/>
        <v>1172</v>
      </c>
      <c r="K13">
        <v>866</v>
      </c>
      <c r="L13">
        <v>887</v>
      </c>
      <c r="M13" s="36">
        <f t="shared" si="3"/>
        <v>1753</v>
      </c>
      <c r="N13">
        <v>410</v>
      </c>
      <c r="O13">
        <v>270</v>
      </c>
      <c r="P13" s="36">
        <f t="shared" si="4"/>
        <v>680</v>
      </c>
      <c r="Q13">
        <v>177</v>
      </c>
      <c r="R13">
        <v>117</v>
      </c>
      <c r="S13" s="36">
        <f t="shared" si="5"/>
        <v>294</v>
      </c>
      <c r="T13">
        <v>139</v>
      </c>
      <c r="U13">
        <v>129</v>
      </c>
      <c r="V13" s="36">
        <f t="shared" si="6"/>
        <v>268</v>
      </c>
      <c r="W13">
        <v>231</v>
      </c>
      <c r="X13">
        <v>342</v>
      </c>
      <c r="Y13" s="36">
        <f t="shared" si="7"/>
        <v>573</v>
      </c>
      <c r="Z13">
        <v>557</v>
      </c>
      <c r="AA13">
        <v>424</v>
      </c>
      <c r="AB13" s="36">
        <f t="shared" si="8"/>
        <v>981</v>
      </c>
      <c r="AC13">
        <v>113</v>
      </c>
      <c r="AD13">
        <v>58</v>
      </c>
      <c r="AE13" s="36">
        <f t="shared" si="9"/>
        <v>171</v>
      </c>
      <c r="AF13">
        <v>395</v>
      </c>
      <c r="AG13">
        <v>265</v>
      </c>
      <c r="AH13" s="36">
        <f t="shared" si="10"/>
        <v>660</v>
      </c>
    </row>
    <row r="14" spans="1:34" x14ac:dyDescent="0.3">
      <c r="A14" t="s">
        <v>192</v>
      </c>
      <c r="B14">
        <v>960</v>
      </c>
      <c r="C14">
        <v>908</v>
      </c>
      <c r="D14" s="36">
        <f t="shared" si="0"/>
        <v>1868</v>
      </c>
      <c r="E14">
        <v>529</v>
      </c>
      <c r="F14">
        <v>740</v>
      </c>
      <c r="G14" s="36">
        <f t="shared" si="1"/>
        <v>1269</v>
      </c>
      <c r="H14">
        <v>1220</v>
      </c>
      <c r="I14">
        <v>1630</v>
      </c>
      <c r="J14" s="36">
        <f t="shared" si="2"/>
        <v>2850</v>
      </c>
      <c r="K14">
        <v>2682</v>
      </c>
      <c r="L14">
        <v>2565</v>
      </c>
      <c r="M14" s="36">
        <f t="shared" si="3"/>
        <v>5247</v>
      </c>
      <c r="N14">
        <v>920</v>
      </c>
      <c r="O14">
        <v>976</v>
      </c>
      <c r="P14" s="36">
        <f t="shared" si="4"/>
        <v>1896</v>
      </c>
      <c r="Q14">
        <v>435</v>
      </c>
      <c r="R14">
        <v>746</v>
      </c>
      <c r="S14" s="36">
        <f t="shared" si="5"/>
        <v>1181</v>
      </c>
      <c r="T14">
        <v>834</v>
      </c>
      <c r="U14">
        <v>664</v>
      </c>
      <c r="V14" s="36">
        <f t="shared" si="6"/>
        <v>1498</v>
      </c>
      <c r="W14">
        <v>938</v>
      </c>
      <c r="X14">
        <v>1146</v>
      </c>
      <c r="Y14" s="36">
        <f t="shared" si="7"/>
        <v>2084</v>
      </c>
      <c r="Z14">
        <v>1624</v>
      </c>
      <c r="AA14">
        <v>1787</v>
      </c>
      <c r="AB14" s="36">
        <f t="shared" si="8"/>
        <v>3411</v>
      </c>
      <c r="AC14">
        <v>372</v>
      </c>
      <c r="AD14">
        <v>461</v>
      </c>
      <c r="AE14" s="36">
        <f t="shared" si="9"/>
        <v>833</v>
      </c>
      <c r="AF14">
        <v>1178</v>
      </c>
      <c r="AG14">
        <v>1002</v>
      </c>
      <c r="AH14" s="36">
        <f t="shared" si="10"/>
        <v>2180</v>
      </c>
    </row>
    <row r="15" spans="1:34" x14ac:dyDescent="0.3">
      <c r="A15" t="s">
        <v>193</v>
      </c>
      <c r="B15">
        <v>2635</v>
      </c>
      <c r="C15">
        <v>2310</v>
      </c>
      <c r="D15" s="36">
        <f t="shared" si="0"/>
        <v>4945</v>
      </c>
      <c r="E15">
        <v>1750</v>
      </c>
      <c r="F15">
        <v>1772</v>
      </c>
      <c r="G15" s="36">
        <f t="shared" si="1"/>
        <v>3522</v>
      </c>
      <c r="H15">
        <v>1977</v>
      </c>
      <c r="I15">
        <v>2764</v>
      </c>
      <c r="J15" s="36">
        <f t="shared" si="2"/>
        <v>4741</v>
      </c>
      <c r="K15">
        <v>3596</v>
      </c>
      <c r="L15">
        <v>3834</v>
      </c>
      <c r="M15" s="36">
        <f t="shared" si="3"/>
        <v>7430</v>
      </c>
      <c r="N15">
        <v>1484</v>
      </c>
      <c r="O15">
        <v>1712</v>
      </c>
      <c r="P15" s="36">
        <f t="shared" si="4"/>
        <v>3196</v>
      </c>
      <c r="Q15">
        <v>1139</v>
      </c>
      <c r="R15">
        <v>1323</v>
      </c>
      <c r="S15" s="36">
        <f t="shared" si="5"/>
        <v>2462</v>
      </c>
      <c r="T15">
        <v>1037</v>
      </c>
      <c r="U15">
        <v>777</v>
      </c>
      <c r="V15" s="36">
        <f t="shared" si="6"/>
        <v>1814</v>
      </c>
      <c r="W15">
        <v>1553</v>
      </c>
      <c r="X15">
        <v>1372</v>
      </c>
      <c r="Y15" s="36">
        <f t="shared" si="7"/>
        <v>2925</v>
      </c>
      <c r="Z15">
        <v>2677</v>
      </c>
      <c r="AA15">
        <v>2627</v>
      </c>
      <c r="AB15" s="36">
        <f t="shared" si="8"/>
        <v>5304</v>
      </c>
      <c r="AC15">
        <v>982</v>
      </c>
      <c r="AD15">
        <v>944</v>
      </c>
      <c r="AE15" s="36">
        <f t="shared" si="9"/>
        <v>1926</v>
      </c>
      <c r="AF15">
        <v>1166</v>
      </c>
      <c r="AG15">
        <v>1042</v>
      </c>
      <c r="AH15" s="36">
        <f t="shared" si="10"/>
        <v>2208</v>
      </c>
    </row>
    <row r="16" spans="1:34" x14ac:dyDescent="0.3">
      <c r="A16" t="s">
        <v>194</v>
      </c>
      <c r="B16">
        <v>2327</v>
      </c>
      <c r="C16">
        <v>2149</v>
      </c>
      <c r="D16" s="36">
        <f t="shared" si="0"/>
        <v>4476</v>
      </c>
      <c r="E16">
        <v>1394</v>
      </c>
      <c r="F16">
        <v>1425</v>
      </c>
      <c r="G16" s="36">
        <f t="shared" si="1"/>
        <v>2819</v>
      </c>
      <c r="H16">
        <v>1679</v>
      </c>
      <c r="I16">
        <v>1575</v>
      </c>
      <c r="J16" s="36">
        <f t="shared" si="2"/>
        <v>3254</v>
      </c>
      <c r="K16">
        <v>3543</v>
      </c>
      <c r="L16">
        <v>3818</v>
      </c>
      <c r="M16" s="36">
        <f t="shared" si="3"/>
        <v>7361</v>
      </c>
      <c r="N16">
        <v>1560</v>
      </c>
      <c r="O16">
        <v>1276</v>
      </c>
      <c r="P16" s="36">
        <f t="shared" si="4"/>
        <v>2836</v>
      </c>
      <c r="Q16">
        <v>1073</v>
      </c>
      <c r="R16">
        <v>1448</v>
      </c>
      <c r="S16" s="36">
        <f t="shared" si="5"/>
        <v>2521</v>
      </c>
      <c r="T16">
        <v>975</v>
      </c>
      <c r="U16">
        <v>1048</v>
      </c>
      <c r="V16" s="36">
        <f t="shared" si="6"/>
        <v>2023</v>
      </c>
      <c r="W16">
        <v>1079</v>
      </c>
      <c r="X16">
        <v>1386</v>
      </c>
      <c r="Y16" s="36">
        <f t="shared" si="7"/>
        <v>2465</v>
      </c>
      <c r="Z16">
        <v>2631</v>
      </c>
      <c r="AA16">
        <v>2456</v>
      </c>
      <c r="AB16" s="36">
        <f t="shared" si="8"/>
        <v>5087</v>
      </c>
      <c r="AC16">
        <v>939</v>
      </c>
      <c r="AD16">
        <v>1053</v>
      </c>
      <c r="AE16" s="36">
        <f t="shared" si="9"/>
        <v>1992</v>
      </c>
      <c r="AF16">
        <v>1053</v>
      </c>
      <c r="AG16">
        <v>1188</v>
      </c>
      <c r="AH16" s="36">
        <f t="shared" si="10"/>
        <v>2241</v>
      </c>
    </row>
    <row r="17" spans="1:34" x14ac:dyDescent="0.3">
      <c r="A17" t="s">
        <v>195</v>
      </c>
      <c r="B17">
        <v>1362</v>
      </c>
      <c r="C17">
        <v>1685</v>
      </c>
      <c r="D17" s="36">
        <f t="shared" si="0"/>
        <v>3047</v>
      </c>
      <c r="E17">
        <v>950</v>
      </c>
      <c r="F17">
        <v>1000</v>
      </c>
      <c r="G17" s="36">
        <f t="shared" si="1"/>
        <v>1950</v>
      </c>
      <c r="H17">
        <v>1608</v>
      </c>
      <c r="I17">
        <v>1603</v>
      </c>
      <c r="J17" s="36">
        <f t="shared" si="2"/>
        <v>3211</v>
      </c>
      <c r="K17">
        <v>3704</v>
      </c>
      <c r="L17">
        <v>2937</v>
      </c>
      <c r="M17" s="36">
        <f t="shared" si="3"/>
        <v>6641</v>
      </c>
      <c r="N17">
        <v>1467</v>
      </c>
      <c r="O17">
        <v>1545</v>
      </c>
      <c r="P17" s="36">
        <f t="shared" si="4"/>
        <v>3012</v>
      </c>
      <c r="Q17">
        <v>1199</v>
      </c>
      <c r="R17">
        <v>943</v>
      </c>
      <c r="S17" s="36">
        <f t="shared" si="5"/>
        <v>2142</v>
      </c>
      <c r="T17">
        <v>1090</v>
      </c>
      <c r="U17">
        <v>1327</v>
      </c>
      <c r="V17" s="36">
        <f t="shared" si="6"/>
        <v>2417</v>
      </c>
      <c r="W17">
        <v>1128</v>
      </c>
      <c r="X17">
        <v>1219</v>
      </c>
      <c r="Y17" s="36">
        <f t="shared" si="7"/>
        <v>2347</v>
      </c>
      <c r="Z17">
        <v>2244</v>
      </c>
      <c r="AA17">
        <v>2141</v>
      </c>
      <c r="AB17" s="36">
        <f t="shared" si="8"/>
        <v>4385</v>
      </c>
      <c r="AC17">
        <v>698</v>
      </c>
      <c r="AD17">
        <v>950</v>
      </c>
      <c r="AE17" s="36">
        <f t="shared" si="9"/>
        <v>1648</v>
      </c>
      <c r="AF17">
        <v>1023</v>
      </c>
      <c r="AG17">
        <v>1451</v>
      </c>
      <c r="AH17" s="36">
        <f t="shared" si="10"/>
        <v>2474</v>
      </c>
    </row>
    <row r="18" spans="1:34" x14ac:dyDescent="0.3">
      <c r="A18" t="s">
        <v>196</v>
      </c>
      <c r="B18">
        <v>1887</v>
      </c>
      <c r="C18">
        <v>1603</v>
      </c>
      <c r="D18" s="36">
        <f t="shared" si="0"/>
        <v>3490</v>
      </c>
      <c r="E18">
        <v>1188</v>
      </c>
      <c r="F18">
        <v>1138</v>
      </c>
      <c r="G18" s="36">
        <f t="shared" si="1"/>
        <v>2326</v>
      </c>
      <c r="H18">
        <v>1229</v>
      </c>
      <c r="I18">
        <v>1476</v>
      </c>
      <c r="J18" s="36">
        <f t="shared" si="2"/>
        <v>2705</v>
      </c>
      <c r="K18">
        <v>2919</v>
      </c>
      <c r="L18">
        <v>3093</v>
      </c>
      <c r="M18" s="36">
        <f t="shared" si="3"/>
        <v>6012</v>
      </c>
      <c r="N18">
        <v>1327</v>
      </c>
      <c r="O18">
        <v>1584</v>
      </c>
      <c r="P18" s="36">
        <f t="shared" si="4"/>
        <v>2911</v>
      </c>
      <c r="Q18">
        <v>982</v>
      </c>
      <c r="R18">
        <v>1338</v>
      </c>
      <c r="S18" s="36">
        <f t="shared" si="5"/>
        <v>2320</v>
      </c>
      <c r="T18">
        <v>1628</v>
      </c>
      <c r="U18">
        <v>1761</v>
      </c>
      <c r="V18" s="36">
        <f t="shared" si="6"/>
        <v>3389</v>
      </c>
      <c r="W18">
        <v>1353</v>
      </c>
      <c r="X18">
        <v>1158</v>
      </c>
      <c r="Y18" s="36">
        <f t="shared" si="7"/>
        <v>2511</v>
      </c>
      <c r="Z18">
        <v>1882</v>
      </c>
      <c r="AA18">
        <v>2059</v>
      </c>
      <c r="AB18" s="36">
        <f t="shared" si="8"/>
        <v>3941</v>
      </c>
      <c r="AC18">
        <v>871</v>
      </c>
      <c r="AD18">
        <v>840</v>
      </c>
      <c r="AE18" s="36">
        <f t="shared" si="9"/>
        <v>1711</v>
      </c>
      <c r="AF18">
        <v>1252</v>
      </c>
      <c r="AG18">
        <v>1234</v>
      </c>
      <c r="AH18" s="36">
        <f t="shared" si="10"/>
        <v>2486</v>
      </c>
    </row>
    <row r="19" spans="1:34" x14ac:dyDescent="0.3">
      <c r="A19" t="s">
        <v>197</v>
      </c>
      <c r="B19">
        <v>1942</v>
      </c>
      <c r="C19">
        <v>1061</v>
      </c>
      <c r="D19" s="36">
        <f t="shared" si="0"/>
        <v>3003</v>
      </c>
      <c r="E19">
        <v>1180</v>
      </c>
      <c r="F19">
        <v>1111</v>
      </c>
      <c r="G19" s="36">
        <f t="shared" si="1"/>
        <v>2291</v>
      </c>
      <c r="H19">
        <v>1122</v>
      </c>
      <c r="I19">
        <v>1565</v>
      </c>
      <c r="J19" s="36">
        <f t="shared" si="2"/>
        <v>2687</v>
      </c>
      <c r="K19">
        <v>3507</v>
      </c>
      <c r="L19">
        <v>3513</v>
      </c>
      <c r="M19" s="36">
        <f t="shared" si="3"/>
        <v>7020</v>
      </c>
      <c r="N19">
        <v>1569</v>
      </c>
      <c r="O19">
        <v>1807</v>
      </c>
      <c r="P19" s="36">
        <f t="shared" si="4"/>
        <v>3376</v>
      </c>
      <c r="Q19">
        <v>1384</v>
      </c>
      <c r="R19">
        <v>989</v>
      </c>
      <c r="S19" s="36">
        <f t="shared" si="5"/>
        <v>2373</v>
      </c>
      <c r="T19">
        <v>1407</v>
      </c>
      <c r="U19">
        <v>1577</v>
      </c>
      <c r="V19" s="36">
        <f t="shared" si="6"/>
        <v>2984</v>
      </c>
      <c r="W19">
        <v>938</v>
      </c>
      <c r="X19">
        <v>1198</v>
      </c>
      <c r="Y19" s="36">
        <f t="shared" si="7"/>
        <v>2136</v>
      </c>
      <c r="Z19">
        <v>1629</v>
      </c>
      <c r="AA19">
        <v>1759</v>
      </c>
      <c r="AB19" s="36">
        <f t="shared" si="8"/>
        <v>3388</v>
      </c>
      <c r="AC19">
        <v>648</v>
      </c>
      <c r="AD19">
        <v>477</v>
      </c>
      <c r="AE19" s="36">
        <f t="shared" si="9"/>
        <v>1125</v>
      </c>
      <c r="AF19">
        <v>1481</v>
      </c>
      <c r="AG19">
        <v>1399</v>
      </c>
      <c r="AH19" s="36">
        <f t="shared" si="10"/>
        <v>2880</v>
      </c>
    </row>
    <row r="20" spans="1:34" x14ac:dyDescent="0.3">
      <c r="A20" t="s">
        <v>198</v>
      </c>
      <c r="B20">
        <v>1563</v>
      </c>
      <c r="C20">
        <v>1166</v>
      </c>
      <c r="D20" s="36">
        <f t="shared" si="0"/>
        <v>2729</v>
      </c>
      <c r="E20">
        <v>1311</v>
      </c>
      <c r="F20">
        <v>1388</v>
      </c>
      <c r="G20" s="36">
        <f t="shared" si="1"/>
        <v>2699</v>
      </c>
      <c r="H20">
        <v>1509</v>
      </c>
      <c r="I20">
        <v>1274</v>
      </c>
      <c r="J20" s="36">
        <f t="shared" si="2"/>
        <v>2783</v>
      </c>
      <c r="K20">
        <v>2379</v>
      </c>
      <c r="L20">
        <v>3144</v>
      </c>
      <c r="M20" s="36">
        <f t="shared" si="3"/>
        <v>5523</v>
      </c>
      <c r="N20">
        <v>1344</v>
      </c>
      <c r="O20">
        <v>1530</v>
      </c>
      <c r="P20" s="36">
        <f t="shared" si="4"/>
        <v>2874</v>
      </c>
      <c r="Q20">
        <v>1255</v>
      </c>
      <c r="R20">
        <v>1269</v>
      </c>
      <c r="S20" s="36">
        <f t="shared" si="5"/>
        <v>2524</v>
      </c>
      <c r="T20">
        <v>1713</v>
      </c>
      <c r="U20">
        <v>1768</v>
      </c>
      <c r="V20" s="36">
        <f t="shared" si="6"/>
        <v>3481</v>
      </c>
      <c r="W20">
        <v>1241</v>
      </c>
      <c r="X20">
        <v>1088</v>
      </c>
      <c r="Y20" s="36">
        <f t="shared" si="7"/>
        <v>2329</v>
      </c>
      <c r="Z20">
        <v>1563</v>
      </c>
      <c r="AA20">
        <v>1430</v>
      </c>
      <c r="AB20" s="36">
        <f t="shared" si="8"/>
        <v>2993</v>
      </c>
      <c r="AC20">
        <v>730</v>
      </c>
      <c r="AD20">
        <v>786</v>
      </c>
      <c r="AE20" s="36">
        <f t="shared" si="9"/>
        <v>1516</v>
      </c>
      <c r="AF20">
        <v>1430</v>
      </c>
      <c r="AG20">
        <v>1391</v>
      </c>
      <c r="AH20" s="36">
        <f t="shared" si="10"/>
        <v>2821</v>
      </c>
    </row>
    <row r="21" spans="1:34" x14ac:dyDescent="0.3">
      <c r="A21" t="s">
        <v>199</v>
      </c>
      <c r="B21">
        <v>1504</v>
      </c>
      <c r="C21">
        <v>1028</v>
      </c>
      <c r="D21" s="36">
        <f t="shared" si="0"/>
        <v>2532</v>
      </c>
      <c r="E21">
        <v>1133</v>
      </c>
      <c r="F21">
        <v>1241</v>
      </c>
      <c r="G21" s="36">
        <f t="shared" si="1"/>
        <v>2374</v>
      </c>
      <c r="H21">
        <v>1031</v>
      </c>
      <c r="I21">
        <v>981</v>
      </c>
      <c r="J21" s="36">
        <f t="shared" si="2"/>
        <v>2012</v>
      </c>
      <c r="K21">
        <v>2178</v>
      </c>
      <c r="L21">
        <v>2453</v>
      </c>
      <c r="M21" s="36">
        <f t="shared" si="3"/>
        <v>4631</v>
      </c>
      <c r="N21">
        <v>895</v>
      </c>
      <c r="O21">
        <v>1032</v>
      </c>
      <c r="P21" s="36">
        <f t="shared" si="4"/>
        <v>1927</v>
      </c>
      <c r="Q21">
        <v>1189</v>
      </c>
      <c r="R21">
        <v>1496</v>
      </c>
      <c r="S21" s="36">
        <f t="shared" si="5"/>
        <v>2685</v>
      </c>
      <c r="T21">
        <v>1499</v>
      </c>
      <c r="U21">
        <v>1414</v>
      </c>
      <c r="V21" s="36">
        <f t="shared" si="6"/>
        <v>2913</v>
      </c>
      <c r="W21">
        <v>994</v>
      </c>
      <c r="X21">
        <v>940</v>
      </c>
      <c r="Y21" s="36">
        <f t="shared" si="7"/>
        <v>1934</v>
      </c>
      <c r="Z21">
        <v>1166</v>
      </c>
      <c r="AA21">
        <v>1411</v>
      </c>
      <c r="AB21" s="36">
        <f t="shared" si="8"/>
        <v>2577</v>
      </c>
      <c r="AC21">
        <v>470</v>
      </c>
      <c r="AD21">
        <v>599</v>
      </c>
      <c r="AE21" s="36">
        <f t="shared" si="9"/>
        <v>1069</v>
      </c>
      <c r="AF21">
        <v>1385</v>
      </c>
      <c r="AG21">
        <v>1542</v>
      </c>
      <c r="AH21" s="36">
        <f t="shared" si="10"/>
        <v>2927</v>
      </c>
    </row>
    <row r="22" spans="1:34" x14ac:dyDescent="0.3">
      <c r="A22" t="s">
        <v>200</v>
      </c>
      <c r="B22">
        <v>389</v>
      </c>
      <c r="C22">
        <v>573</v>
      </c>
      <c r="D22" s="36">
        <f t="shared" si="0"/>
        <v>962</v>
      </c>
      <c r="E22">
        <v>393</v>
      </c>
      <c r="F22">
        <v>358</v>
      </c>
      <c r="G22" s="36">
        <f t="shared" si="1"/>
        <v>751</v>
      </c>
      <c r="H22">
        <v>352</v>
      </c>
      <c r="I22">
        <v>340</v>
      </c>
      <c r="J22" s="36">
        <f t="shared" si="2"/>
        <v>692</v>
      </c>
      <c r="K22">
        <v>786</v>
      </c>
      <c r="L22">
        <v>918</v>
      </c>
      <c r="M22" s="36">
        <f t="shared" si="3"/>
        <v>1704</v>
      </c>
      <c r="N22">
        <v>360</v>
      </c>
      <c r="O22">
        <v>473</v>
      </c>
      <c r="P22" s="36">
        <f t="shared" si="4"/>
        <v>833</v>
      </c>
      <c r="Q22">
        <v>490</v>
      </c>
      <c r="R22">
        <v>417</v>
      </c>
      <c r="S22" s="36">
        <f t="shared" si="5"/>
        <v>907</v>
      </c>
      <c r="T22">
        <v>577</v>
      </c>
      <c r="U22">
        <v>534</v>
      </c>
      <c r="V22" s="36">
        <f t="shared" si="6"/>
        <v>1111</v>
      </c>
      <c r="W22">
        <v>451</v>
      </c>
      <c r="X22">
        <v>412</v>
      </c>
      <c r="Y22" s="36">
        <f t="shared" si="7"/>
        <v>863</v>
      </c>
      <c r="Z22">
        <v>459</v>
      </c>
      <c r="AA22">
        <v>345</v>
      </c>
      <c r="AB22" s="36">
        <f t="shared" si="8"/>
        <v>804</v>
      </c>
      <c r="AC22">
        <v>279</v>
      </c>
      <c r="AD22">
        <v>157</v>
      </c>
      <c r="AE22" s="36">
        <f t="shared" si="9"/>
        <v>436</v>
      </c>
      <c r="AF22">
        <v>541</v>
      </c>
      <c r="AG22">
        <v>525</v>
      </c>
      <c r="AH22" s="36">
        <f t="shared" si="10"/>
        <v>1066</v>
      </c>
    </row>
    <row r="23" spans="1:34" x14ac:dyDescent="0.3">
      <c r="A23" t="s">
        <v>201</v>
      </c>
      <c r="B23">
        <v>646</v>
      </c>
      <c r="C23">
        <v>646</v>
      </c>
      <c r="D23" s="36">
        <f t="shared" si="0"/>
        <v>1292</v>
      </c>
      <c r="E23">
        <v>579</v>
      </c>
      <c r="F23">
        <v>701</v>
      </c>
      <c r="G23" s="36">
        <f t="shared" si="1"/>
        <v>1280</v>
      </c>
      <c r="H23">
        <v>312</v>
      </c>
      <c r="I23">
        <v>493</v>
      </c>
      <c r="J23" s="36">
        <f t="shared" si="2"/>
        <v>805</v>
      </c>
      <c r="K23">
        <v>1065</v>
      </c>
      <c r="L23">
        <v>1317</v>
      </c>
      <c r="M23" s="36">
        <f t="shared" si="3"/>
        <v>2382</v>
      </c>
      <c r="N23">
        <v>631</v>
      </c>
      <c r="O23">
        <v>430</v>
      </c>
      <c r="P23" s="36">
        <f t="shared" si="4"/>
        <v>1061</v>
      </c>
      <c r="Q23">
        <v>344</v>
      </c>
      <c r="R23">
        <v>531</v>
      </c>
      <c r="S23" s="36">
        <f t="shared" si="5"/>
        <v>875</v>
      </c>
      <c r="T23">
        <v>534</v>
      </c>
      <c r="U23">
        <v>806</v>
      </c>
      <c r="V23" s="36">
        <f t="shared" si="6"/>
        <v>1340</v>
      </c>
      <c r="W23">
        <v>611</v>
      </c>
      <c r="X23">
        <v>730</v>
      </c>
      <c r="Y23" s="36">
        <f t="shared" si="7"/>
        <v>1341</v>
      </c>
      <c r="Z23">
        <v>485</v>
      </c>
      <c r="AA23">
        <v>696</v>
      </c>
      <c r="AB23" s="36">
        <f t="shared" si="8"/>
        <v>1181</v>
      </c>
      <c r="AC23">
        <v>267</v>
      </c>
      <c r="AD23">
        <v>386</v>
      </c>
      <c r="AE23" s="36">
        <f t="shared" si="9"/>
        <v>653</v>
      </c>
      <c r="AF23">
        <v>576</v>
      </c>
      <c r="AG23">
        <v>660</v>
      </c>
      <c r="AH23" s="36">
        <f t="shared" si="10"/>
        <v>1236</v>
      </c>
    </row>
    <row r="24" spans="1:34" x14ac:dyDescent="0.3">
      <c r="A24" t="s">
        <v>202</v>
      </c>
      <c r="B24">
        <v>338</v>
      </c>
      <c r="C24">
        <v>243</v>
      </c>
      <c r="D24" s="36">
        <f t="shared" si="0"/>
        <v>581</v>
      </c>
      <c r="E24">
        <v>610</v>
      </c>
      <c r="F24">
        <v>545</v>
      </c>
      <c r="G24" s="36">
        <f t="shared" si="1"/>
        <v>1155</v>
      </c>
      <c r="H24">
        <v>243</v>
      </c>
      <c r="I24">
        <v>267</v>
      </c>
      <c r="J24" s="36">
        <f t="shared" si="2"/>
        <v>510</v>
      </c>
      <c r="K24">
        <v>618</v>
      </c>
      <c r="L24">
        <v>799</v>
      </c>
      <c r="M24" s="36">
        <f t="shared" si="3"/>
        <v>1417</v>
      </c>
      <c r="N24">
        <v>243</v>
      </c>
      <c r="O24">
        <v>309</v>
      </c>
      <c r="P24" s="36">
        <f t="shared" si="4"/>
        <v>552</v>
      </c>
      <c r="Q24">
        <v>472</v>
      </c>
      <c r="R24">
        <v>326</v>
      </c>
      <c r="S24" s="36">
        <f t="shared" si="5"/>
        <v>798</v>
      </c>
      <c r="T24">
        <v>457</v>
      </c>
      <c r="U24">
        <v>379</v>
      </c>
      <c r="V24" s="36">
        <f t="shared" si="6"/>
        <v>836</v>
      </c>
      <c r="W24">
        <v>321</v>
      </c>
      <c r="X24">
        <v>352</v>
      </c>
      <c r="Y24" s="36">
        <f t="shared" si="7"/>
        <v>673</v>
      </c>
      <c r="Z24">
        <v>332</v>
      </c>
      <c r="AA24">
        <v>471</v>
      </c>
      <c r="AB24" s="36">
        <f t="shared" si="8"/>
        <v>803</v>
      </c>
      <c r="AC24">
        <v>180</v>
      </c>
      <c r="AD24">
        <v>153</v>
      </c>
      <c r="AE24" s="36">
        <f t="shared" si="9"/>
        <v>333</v>
      </c>
      <c r="AF24">
        <v>389</v>
      </c>
      <c r="AG24">
        <v>383</v>
      </c>
      <c r="AH24" s="36">
        <f t="shared" si="10"/>
        <v>772</v>
      </c>
    </row>
    <row r="25" spans="1:34" x14ac:dyDescent="0.3">
      <c r="A25" t="s">
        <v>203</v>
      </c>
      <c r="B25">
        <v>387</v>
      </c>
      <c r="C25">
        <v>362</v>
      </c>
      <c r="D25" s="36">
        <f t="shared" si="0"/>
        <v>749</v>
      </c>
      <c r="E25">
        <v>636</v>
      </c>
      <c r="F25">
        <v>659</v>
      </c>
      <c r="G25" s="36">
        <f t="shared" si="1"/>
        <v>1295</v>
      </c>
      <c r="H25">
        <v>261</v>
      </c>
      <c r="I25">
        <v>253</v>
      </c>
      <c r="J25" s="36">
        <f t="shared" si="2"/>
        <v>514</v>
      </c>
      <c r="K25">
        <v>770</v>
      </c>
      <c r="L25">
        <v>764</v>
      </c>
      <c r="M25" s="36">
        <f t="shared" si="3"/>
        <v>1534</v>
      </c>
      <c r="N25">
        <v>263</v>
      </c>
      <c r="O25">
        <v>469</v>
      </c>
      <c r="P25" s="36">
        <f t="shared" si="4"/>
        <v>732</v>
      </c>
      <c r="Q25">
        <v>443</v>
      </c>
      <c r="R25">
        <v>467</v>
      </c>
      <c r="S25" s="36">
        <f t="shared" si="5"/>
        <v>910</v>
      </c>
      <c r="T25">
        <v>560</v>
      </c>
      <c r="U25">
        <v>576</v>
      </c>
      <c r="V25" s="36">
        <f t="shared" si="6"/>
        <v>1136</v>
      </c>
      <c r="W25">
        <v>355</v>
      </c>
      <c r="X25">
        <v>365</v>
      </c>
      <c r="Y25" s="36">
        <f t="shared" si="7"/>
        <v>720</v>
      </c>
      <c r="Z25">
        <v>337</v>
      </c>
      <c r="AA25">
        <v>514</v>
      </c>
      <c r="AB25" s="36">
        <f t="shared" si="8"/>
        <v>851</v>
      </c>
      <c r="AC25">
        <v>326</v>
      </c>
      <c r="AD25">
        <v>222</v>
      </c>
      <c r="AE25" s="36">
        <f t="shared" si="9"/>
        <v>548</v>
      </c>
      <c r="AF25">
        <v>578</v>
      </c>
      <c r="AG25">
        <v>481</v>
      </c>
      <c r="AH25" s="36">
        <f t="shared" si="10"/>
        <v>1059</v>
      </c>
    </row>
    <row r="26" spans="1:34" x14ac:dyDescent="0.3">
      <c r="A26" t="s">
        <v>204</v>
      </c>
      <c r="B26">
        <v>365</v>
      </c>
      <c r="C26">
        <v>461</v>
      </c>
      <c r="D26" s="36">
        <f t="shared" si="0"/>
        <v>826</v>
      </c>
      <c r="E26">
        <v>773</v>
      </c>
      <c r="F26">
        <v>697</v>
      </c>
      <c r="G26" s="36">
        <f t="shared" si="1"/>
        <v>1470</v>
      </c>
      <c r="H26">
        <v>272</v>
      </c>
      <c r="I26">
        <v>294</v>
      </c>
      <c r="J26" s="36">
        <f t="shared" si="2"/>
        <v>566</v>
      </c>
      <c r="K26">
        <v>871</v>
      </c>
      <c r="L26">
        <v>1008</v>
      </c>
      <c r="M26" s="36">
        <f t="shared" si="3"/>
        <v>1879</v>
      </c>
      <c r="N26">
        <v>383</v>
      </c>
      <c r="O26">
        <v>613</v>
      </c>
      <c r="P26" s="36">
        <f t="shared" si="4"/>
        <v>996</v>
      </c>
      <c r="Q26">
        <v>498</v>
      </c>
      <c r="R26">
        <v>463</v>
      </c>
      <c r="S26" s="36">
        <f t="shared" si="5"/>
        <v>961</v>
      </c>
      <c r="T26">
        <v>594</v>
      </c>
      <c r="U26">
        <v>659</v>
      </c>
      <c r="V26" s="36">
        <f t="shared" si="6"/>
        <v>1253</v>
      </c>
      <c r="W26">
        <v>376</v>
      </c>
      <c r="X26">
        <v>699</v>
      </c>
      <c r="Y26" s="36">
        <f t="shared" si="7"/>
        <v>1075</v>
      </c>
      <c r="Z26">
        <v>345</v>
      </c>
      <c r="AA26">
        <v>459</v>
      </c>
      <c r="AB26" s="36">
        <f t="shared" si="8"/>
        <v>804</v>
      </c>
      <c r="AC26">
        <v>240</v>
      </c>
      <c r="AD26">
        <v>222</v>
      </c>
      <c r="AE26" s="36">
        <f t="shared" si="9"/>
        <v>462</v>
      </c>
      <c r="AF26">
        <v>669</v>
      </c>
      <c r="AG26">
        <v>732</v>
      </c>
      <c r="AH26" s="36">
        <f t="shared" si="10"/>
        <v>1401</v>
      </c>
    </row>
    <row r="27" spans="1:34" x14ac:dyDescent="0.3">
      <c r="A27" t="s">
        <v>205</v>
      </c>
      <c r="B27">
        <v>236</v>
      </c>
      <c r="C27">
        <v>311</v>
      </c>
      <c r="D27" s="36">
        <f t="shared" si="0"/>
        <v>547</v>
      </c>
      <c r="E27">
        <v>351</v>
      </c>
      <c r="F27">
        <v>452</v>
      </c>
      <c r="G27" s="36">
        <f t="shared" si="1"/>
        <v>803</v>
      </c>
      <c r="H27">
        <v>175</v>
      </c>
      <c r="I27">
        <v>309</v>
      </c>
      <c r="J27" s="36">
        <f t="shared" si="2"/>
        <v>484</v>
      </c>
      <c r="K27">
        <v>416</v>
      </c>
      <c r="L27">
        <v>437</v>
      </c>
      <c r="M27" s="36">
        <f t="shared" si="3"/>
        <v>853</v>
      </c>
      <c r="N27">
        <v>301</v>
      </c>
      <c r="O27">
        <v>390</v>
      </c>
      <c r="P27" s="36">
        <f t="shared" si="4"/>
        <v>691</v>
      </c>
      <c r="Q27">
        <v>316</v>
      </c>
      <c r="R27">
        <v>463</v>
      </c>
      <c r="S27" s="36">
        <f t="shared" si="5"/>
        <v>779</v>
      </c>
      <c r="T27">
        <v>396</v>
      </c>
      <c r="U27">
        <v>409</v>
      </c>
      <c r="V27" s="36">
        <f t="shared" si="6"/>
        <v>805</v>
      </c>
      <c r="W27">
        <v>205</v>
      </c>
      <c r="X27">
        <v>327</v>
      </c>
      <c r="Y27" s="36">
        <f t="shared" si="7"/>
        <v>532</v>
      </c>
      <c r="Z27">
        <v>332</v>
      </c>
      <c r="AA27">
        <v>434</v>
      </c>
      <c r="AB27" s="36">
        <f t="shared" si="8"/>
        <v>766</v>
      </c>
      <c r="AC27">
        <v>109</v>
      </c>
      <c r="AD27">
        <v>147</v>
      </c>
      <c r="AE27" s="36">
        <f t="shared" si="9"/>
        <v>256</v>
      </c>
      <c r="AF27">
        <v>350</v>
      </c>
      <c r="AG27">
        <v>561</v>
      </c>
      <c r="AH27" s="36">
        <f t="shared" si="10"/>
        <v>911</v>
      </c>
    </row>
    <row r="28" spans="1:34" x14ac:dyDescent="0.3">
      <c r="A28" t="s">
        <v>206</v>
      </c>
      <c r="B28">
        <v>250</v>
      </c>
      <c r="C28">
        <v>197</v>
      </c>
      <c r="D28" s="36">
        <f t="shared" si="0"/>
        <v>447</v>
      </c>
      <c r="E28">
        <v>250</v>
      </c>
      <c r="F28">
        <v>281</v>
      </c>
      <c r="G28" s="36">
        <f t="shared" si="1"/>
        <v>531</v>
      </c>
      <c r="H28">
        <v>76</v>
      </c>
      <c r="I28">
        <v>72</v>
      </c>
      <c r="J28" s="36">
        <f t="shared" si="2"/>
        <v>148</v>
      </c>
      <c r="K28">
        <v>328</v>
      </c>
      <c r="L28">
        <v>354</v>
      </c>
      <c r="M28" s="36">
        <f t="shared" si="3"/>
        <v>682</v>
      </c>
      <c r="N28">
        <v>311</v>
      </c>
      <c r="O28">
        <v>470</v>
      </c>
      <c r="P28" s="36">
        <f t="shared" si="4"/>
        <v>781</v>
      </c>
      <c r="Q28">
        <v>157</v>
      </c>
      <c r="R28">
        <v>384</v>
      </c>
      <c r="S28" s="36">
        <f t="shared" si="5"/>
        <v>541</v>
      </c>
      <c r="T28">
        <v>447</v>
      </c>
      <c r="U28">
        <v>590</v>
      </c>
      <c r="V28" s="36">
        <f t="shared" si="6"/>
        <v>1037</v>
      </c>
      <c r="W28">
        <v>258</v>
      </c>
      <c r="X28">
        <v>343</v>
      </c>
      <c r="Y28" s="36">
        <f t="shared" si="7"/>
        <v>601</v>
      </c>
      <c r="Z28">
        <v>206</v>
      </c>
      <c r="AA28">
        <v>165</v>
      </c>
      <c r="AB28" s="36">
        <f t="shared" si="8"/>
        <v>371</v>
      </c>
      <c r="AC28">
        <v>52</v>
      </c>
      <c r="AD28">
        <v>205</v>
      </c>
      <c r="AE28" s="36">
        <f t="shared" si="9"/>
        <v>257</v>
      </c>
      <c r="AF28">
        <v>355</v>
      </c>
      <c r="AG28">
        <v>365</v>
      </c>
      <c r="AH28" s="36">
        <f t="shared" si="10"/>
        <v>720</v>
      </c>
    </row>
    <row r="29" spans="1:34" x14ac:dyDescent="0.3">
      <c r="A29" t="s">
        <v>207</v>
      </c>
      <c r="B29">
        <v>188</v>
      </c>
      <c r="C29">
        <v>210</v>
      </c>
      <c r="D29" s="36">
        <f t="shared" si="0"/>
        <v>398</v>
      </c>
      <c r="E29">
        <v>289</v>
      </c>
      <c r="F29">
        <v>360</v>
      </c>
      <c r="G29" s="36">
        <f t="shared" si="1"/>
        <v>649</v>
      </c>
      <c r="H29">
        <v>95</v>
      </c>
      <c r="I29">
        <v>186</v>
      </c>
      <c r="J29" s="36">
        <f t="shared" si="2"/>
        <v>281</v>
      </c>
      <c r="K29">
        <v>232</v>
      </c>
      <c r="L29">
        <v>436</v>
      </c>
      <c r="M29" s="36">
        <f t="shared" si="3"/>
        <v>668</v>
      </c>
      <c r="N29">
        <v>160</v>
      </c>
      <c r="O29">
        <v>207</v>
      </c>
      <c r="P29" s="36">
        <f t="shared" si="4"/>
        <v>367</v>
      </c>
      <c r="Q29">
        <v>297</v>
      </c>
      <c r="R29">
        <v>456</v>
      </c>
      <c r="S29" s="36">
        <f t="shared" si="5"/>
        <v>753</v>
      </c>
      <c r="T29">
        <v>311</v>
      </c>
      <c r="U29">
        <v>679</v>
      </c>
      <c r="V29" s="36">
        <f t="shared" si="6"/>
        <v>990</v>
      </c>
      <c r="W29">
        <v>126</v>
      </c>
      <c r="X29">
        <v>345</v>
      </c>
      <c r="Y29" s="36">
        <f t="shared" si="7"/>
        <v>471</v>
      </c>
      <c r="Z29">
        <v>71</v>
      </c>
      <c r="AA29">
        <v>300</v>
      </c>
      <c r="AB29" s="36">
        <f t="shared" si="8"/>
        <v>371</v>
      </c>
      <c r="AC29">
        <v>77</v>
      </c>
      <c r="AD29">
        <v>212</v>
      </c>
      <c r="AE29" s="36">
        <f t="shared" si="9"/>
        <v>289</v>
      </c>
      <c r="AF29">
        <v>344</v>
      </c>
      <c r="AG29">
        <v>656</v>
      </c>
      <c r="AH29" s="36">
        <f t="shared" si="10"/>
        <v>1000</v>
      </c>
    </row>
    <row r="31" spans="1:34" x14ac:dyDescent="0.3">
      <c r="A31" t="s">
        <v>47</v>
      </c>
      <c r="D31">
        <v>90802</v>
      </c>
      <c r="G31">
        <v>90803</v>
      </c>
      <c r="J31">
        <v>90804</v>
      </c>
      <c r="M31">
        <v>90805</v>
      </c>
      <c r="N31">
        <v>90806</v>
      </c>
      <c r="O31">
        <v>90807</v>
      </c>
      <c r="P31">
        <v>90808</v>
      </c>
      <c r="Q31">
        <v>90810</v>
      </c>
      <c r="R31">
        <v>90813</v>
      </c>
      <c r="S31">
        <v>90814</v>
      </c>
      <c r="T31">
        <v>90815</v>
      </c>
      <c r="V31"/>
      <c r="Y31"/>
      <c r="AB31"/>
      <c r="AE31"/>
      <c r="AH31"/>
    </row>
    <row r="32" spans="1:34" x14ac:dyDescent="0.3">
      <c r="A32" t="s">
        <v>49</v>
      </c>
      <c r="D32">
        <f>SUM(D7)</f>
        <v>2192</v>
      </c>
      <c r="F32" s="36"/>
      <c r="G32"/>
      <c r="I32" s="36"/>
      <c r="J32"/>
      <c r="L32" s="36"/>
      <c r="M32"/>
    </row>
    <row r="33" spans="1:34" x14ac:dyDescent="0.3">
      <c r="A33" t="s">
        <v>51</v>
      </c>
    </row>
    <row r="34" spans="1:34" x14ac:dyDescent="0.3">
      <c r="A34" t="s">
        <v>53</v>
      </c>
    </row>
    <row r="35" spans="1:34" x14ac:dyDescent="0.3">
      <c r="A35" t="s">
        <v>54</v>
      </c>
    </row>
    <row r="36" spans="1:34" x14ac:dyDescent="0.3">
      <c r="A36" t="s">
        <v>55</v>
      </c>
    </row>
    <row r="37" spans="1:34" x14ac:dyDescent="0.3">
      <c r="A37" t="s">
        <v>56</v>
      </c>
    </row>
    <row r="38" spans="1:34" x14ac:dyDescent="0.3">
      <c r="A38" t="s">
        <v>57</v>
      </c>
    </row>
    <row r="42" spans="1:34" x14ac:dyDescent="0.3">
      <c r="A42" s="36" t="s">
        <v>219</v>
      </c>
    </row>
    <row r="43" spans="1:34" x14ac:dyDescent="0.3">
      <c r="B43" s="171">
        <v>90802</v>
      </c>
      <c r="C43" s="171"/>
      <c r="D43" s="65"/>
      <c r="E43" s="171">
        <v>90803</v>
      </c>
      <c r="F43" s="171"/>
      <c r="G43" s="65"/>
      <c r="H43" s="171">
        <v>90804</v>
      </c>
      <c r="I43" s="171"/>
      <c r="J43" s="65"/>
      <c r="K43" s="171">
        <v>90805</v>
      </c>
      <c r="L43" s="171"/>
      <c r="M43" s="65"/>
      <c r="N43" s="171">
        <v>90806</v>
      </c>
      <c r="O43" s="171"/>
      <c r="P43" s="65"/>
      <c r="Q43" s="171">
        <v>90807</v>
      </c>
      <c r="R43" s="171"/>
      <c r="S43" s="65"/>
      <c r="T43" s="171">
        <v>90808</v>
      </c>
      <c r="U43" s="171"/>
      <c r="V43" s="65"/>
      <c r="W43" s="171">
        <v>90810</v>
      </c>
      <c r="X43" s="171"/>
      <c r="Y43" s="65"/>
      <c r="Z43" s="171">
        <v>90813</v>
      </c>
      <c r="AA43" s="171"/>
      <c r="AB43" s="65"/>
      <c r="AC43" s="171">
        <v>90814</v>
      </c>
      <c r="AD43" s="171"/>
      <c r="AE43" s="65"/>
      <c r="AF43" s="171">
        <v>90815</v>
      </c>
      <c r="AG43" s="171"/>
      <c r="AH43" s="65"/>
    </row>
    <row r="44" spans="1:34" x14ac:dyDescent="0.3">
      <c r="B44" s="162" t="s">
        <v>81</v>
      </c>
      <c r="C44" s="162" t="s">
        <v>82</v>
      </c>
      <c r="D44" s="65" t="s">
        <v>83</v>
      </c>
      <c r="E44" s="162" t="s">
        <v>81</v>
      </c>
      <c r="F44" s="162" t="s">
        <v>82</v>
      </c>
      <c r="G44" s="65" t="s">
        <v>83</v>
      </c>
      <c r="H44" s="162" t="s">
        <v>81</v>
      </c>
      <c r="I44" s="162" t="s">
        <v>82</v>
      </c>
      <c r="J44" s="65" t="s">
        <v>83</v>
      </c>
      <c r="K44" s="162" t="s">
        <v>81</v>
      </c>
      <c r="L44" s="162" t="s">
        <v>82</v>
      </c>
      <c r="M44" s="65" t="s">
        <v>83</v>
      </c>
      <c r="N44" s="162" t="s">
        <v>81</v>
      </c>
      <c r="O44" s="162" t="s">
        <v>82</v>
      </c>
      <c r="P44" s="65" t="s">
        <v>83</v>
      </c>
      <c r="Q44" s="162" t="s">
        <v>81</v>
      </c>
      <c r="R44" s="162" t="s">
        <v>82</v>
      </c>
      <c r="S44" s="65" t="s">
        <v>83</v>
      </c>
      <c r="T44" s="162" t="s">
        <v>81</v>
      </c>
      <c r="U44" s="162" t="s">
        <v>82</v>
      </c>
      <c r="V44" s="65" t="s">
        <v>83</v>
      </c>
      <c r="W44" s="162" t="s">
        <v>81</v>
      </c>
      <c r="X44" s="162" t="s">
        <v>82</v>
      </c>
      <c r="Y44" s="65" t="s">
        <v>83</v>
      </c>
      <c r="Z44" s="162" t="s">
        <v>81</v>
      </c>
      <c r="AA44" s="162" t="s">
        <v>82</v>
      </c>
      <c r="AB44" s="65" t="s">
        <v>83</v>
      </c>
      <c r="AC44" s="162" t="s">
        <v>81</v>
      </c>
      <c r="AD44" s="162" t="s">
        <v>82</v>
      </c>
      <c r="AE44" s="65" t="s">
        <v>83</v>
      </c>
      <c r="AF44" s="162" t="s">
        <v>81</v>
      </c>
      <c r="AG44" s="162" t="s">
        <v>304</v>
      </c>
      <c r="AH44" s="65" t="s">
        <v>83</v>
      </c>
    </row>
    <row r="45" spans="1:34" x14ac:dyDescent="0.3">
      <c r="A45" t="s">
        <v>83</v>
      </c>
      <c r="B45">
        <v>20958</v>
      </c>
      <c r="C45">
        <v>19268</v>
      </c>
      <c r="D45" s="36">
        <f>SUM(B45:C45)</f>
        <v>40226</v>
      </c>
      <c r="E45">
        <v>15904</v>
      </c>
      <c r="F45">
        <v>16212</v>
      </c>
      <c r="G45" s="36">
        <f>SUM(E45:F45)</f>
        <v>32116</v>
      </c>
      <c r="H45">
        <v>19678</v>
      </c>
      <c r="I45">
        <v>20547</v>
      </c>
      <c r="J45" s="36">
        <f>SUM(H45:I45)</f>
        <v>40225</v>
      </c>
      <c r="K45">
        <v>46911</v>
      </c>
      <c r="L45">
        <v>49158</v>
      </c>
      <c r="M45" s="36">
        <f>SUM(K45:L45)</f>
        <v>96069</v>
      </c>
      <c r="N45">
        <v>20775</v>
      </c>
      <c r="O45">
        <v>21812</v>
      </c>
      <c r="P45" s="36">
        <f>SUM(N45:O45)</f>
        <v>42587</v>
      </c>
      <c r="Q45">
        <v>15640</v>
      </c>
      <c r="R45">
        <v>16755</v>
      </c>
      <c r="S45" s="36">
        <f>SUM(Q45:R45)</f>
        <v>32395</v>
      </c>
      <c r="T45">
        <v>18824</v>
      </c>
      <c r="U45">
        <v>19663</v>
      </c>
      <c r="V45" s="36">
        <f>SUM(T45:U45)</f>
        <v>38487</v>
      </c>
      <c r="W45">
        <v>18994</v>
      </c>
      <c r="X45">
        <v>19775</v>
      </c>
      <c r="Y45" s="36">
        <f>SUM(W45:X45)</f>
        <v>38769</v>
      </c>
      <c r="Z45">
        <v>30416</v>
      </c>
      <c r="AA45">
        <v>30519</v>
      </c>
      <c r="AB45" s="36">
        <f>SUM(Z45:AA45)</f>
        <v>60935</v>
      </c>
      <c r="AC45">
        <v>8775</v>
      </c>
      <c r="AD45">
        <v>9400</v>
      </c>
      <c r="AE45" s="36">
        <f>SUM(AC45:AD45)</f>
        <v>18175</v>
      </c>
      <c r="AF45">
        <v>19793</v>
      </c>
      <c r="AG45">
        <v>20566</v>
      </c>
      <c r="AH45" s="36">
        <f>SUM(AF45:AG45)</f>
        <v>40359</v>
      </c>
    </row>
    <row r="46" spans="1:34" x14ac:dyDescent="0.3">
      <c r="A46" t="s">
        <v>185</v>
      </c>
      <c r="B46">
        <v>1091</v>
      </c>
      <c r="C46">
        <v>1156</v>
      </c>
      <c r="D46" s="36">
        <f t="shared" ref="D46:D68" si="11">SUM(B46:C46)</f>
        <v>2247</v>
      </c>
      <c r="E46">
        <v>400</v>
      </c>
      <c r="F46">
        <v>446</v>
      </c>
      <c r="G46" s="36">
        <f t="shared" ref="G46:G68" si="12">SUM(E46:F46)</f>
        <v>846</v>
      </c>
      <c r="H46">
        <v>1293</v>
      </c>
      <c r="I46">
        <v>1318</v>
      </c>
      <c r="J46" s="36">
        <f t="shared" ref="J46:J68" si="13">SUM(H46:I46)</f>
        <v>2611</v>
      </c>
      <c r="K46">
        <v>3948</v>
      </c>
      <c r="L46">
        <v>4387</v>
      </c>
      <c r="M46" s="36">
        <f t="shared" ref="M46:M68" si="14">SUM(K46:L46)</f>
        <v>8335</v>
      </c>
      <c r="N46">
        <v>1751</v>
      </c>
      <c r="O46">
        <v>1644</v>
      </c>
      <c r="P46" s="36">
        <f t="shared" ref="P46:P68" si="15">SUM(N46:O46)</f>
        <v>3395</v>
      </c>
      <c r="Q46">
        <v>1073</v>
      </c>
      <c r="R46">
        <v>1226</v>
      </c>
      <c r="S46" s="36">
        <f t="shared" ref="S46:S68" si="16">SUM(Q46:R46)</f>
        <v>2299</v>
      </c>
      <c r="T46">
        <v>1084</v>
      </c>
      <c r="U46">
        <v>1034</v>
      </c>
      <c r="V46" s="36">
        <f t="shared" ref="V46:V68" si="17">SUM(T46:U46)</f>
        <v>2118</v>
      </c>
      <c r="W46">
        <v>1547</v>
      </c>
      <c r="X46">
        <v>1108</v>
      </c>
      <c r="Y46" s="36">
        <f t="shared" ref="Y46:Y68" si="18">SUM(W46:X46)</f>
        <v>2655</v>
      </c>
      <c r="Z46">
        <v>3175</v>
      </c>
      <c r="AA46">
        <v>3002</v>
      </c>
      <c r="AB46" s="36">
        <f t="shared" ref="AB46:AB68" si="19">SUM(Z46:AA46)</f>
        <v>6177</v>
      </c>
      <c r="AC46">
        <v>401</v>
      </c>
      <c r="AD46">
        <v>393</v>
      </c>
      <c r="AE46" s="36">
        <f t="shared" ref="AE46:AE68" si="20">SUM(AC46:AD46)</f>
        <v>794</v>
      </c>
      <c r="AF46">
        <v>1100</v>
      </c>
      <c r="AG46">
        <v>975</v>
      </c>
      <c r="AH46" s="36">
        <f t="shared" ref="AH46:AH68" si="21">SUM(AF46:AG46)</f>
        <v>2075</v>
      </c>
    </row>
    <row r="47" spans="1:34" x14ac:dyDescent="0.3">
      <c r="A47" t="s">
        <v>186</v>
      </c>
      <c r="B47">
        <v>692</v>
      </c>
      <c r="C47">
        <v>636</v>
      </c>
      <c r="D47" s="36">
        <f t="shared" si="11"/>
        <v>1328</v>
      </c>
      <c r="E47">
        <v>348</v>
      </c>
      <c r="F47">
        <v>703</v>
      </c>
      <c r="G47" s="36">
        <f t="shared" si="12"/>
        <v>1051</v>
      </c>
      <c r="H47">
        <v>1463</v>
      </c>
      <c r="I47">
        <v>1158</v>
      </c>
      <c r="J47" s="36">
        <f t="shared" si="13"/>
        <v>2621</v>
      </c>
      <c r="K47">
        <v>4315</v>
      </c>
      <c r="L47">
        <v>3720</v>
      </c>
      <c r="M47" s="36">
        <f t="shared" si="14"/>
        <v>8035</v>
      </c>
      <c r="N47">
        <v>1676</v>
      </c>
      <c r="O47">
        <v>1506</v>
      </c>
      <c r="P47" s="36">
        <f t="shared" si="15"/>
        <v>3182</v>
      </c>
      <c r="Q47">
        <v>1077</v>
      </c>
      <c r="R47">
        <v>658</v>
      </c>
      <c r="S47" s="36">
        <f t="shared" si="16"/>
        <v>1735</v>
      </c>
      <c r="T47">
        <v>990</v>
      </c>
      <c r="U47">
        <v>1297</v>
      </c>
      <c r="V47" s="36">
        <f t="shared" si="17"/>
        <v>2287</v>
      </c>
      <c r="W47">
        <v>1570</v>
      </c>
      <c r="X47">
        <v>1135</v>
      </c>
      <c r="Y47" s="36">
        <f t="shared" si="18"/>
        <v>2705</v>
      </c>
      <c r="Z47">
        <v>2546</v>
      </c>
      <c r="AA47">
        <v>2531</v>
      </c>
      <c r="AB47" s="36">
        <f t="shared" si="19"/>
        <v>5077</v>
      </c>
      <c r="AC47">
        <v>421</v>
      </c>
      <c r="AD47">
        <v>331</v>
      </c>
      <c r="AE47" s="36">
        <f t="shared" si="20"/>
        <v>752</v>
      </c>
      <c r="AF47">
        <v>1075</v>
      </c>
      <c r="AG47">
        <v>763</v>
      </c>
      <c r="AH47" s="36">
        <f t="shared" si="21"/>
        <v>1838</v>
      </c>
    </row>
    <row r="48" spans="1:34" x14ac:dyDescent="0.3">
      <c r="A48" s="12" t="s">
        <v>187</v>
      </c>
      <c r="B48">
        <v>918</v>
      </c>
      <c r="C48">
        <v>718</v>
      </c>
      <c r="D48" s="36">
        <f t="shared" si="11"/>
        <v>1636</v>
      </c>
      <c r="E48">
        <v>627</v>
      </c>
      <c r="F48">
        <v>489</v>
      </c>
      <c r="G48" s="36">
        <f t="shared" si="12"/>
        <v>1116</v>
      </c>
      <c r="H48">
        <v>1211</v>
      </c>
      <c r="I48">
        <v>878</v>
      </c>
      <c r="J48" s="36">
        <f t="shared" si="13"/>
        <v>2089</v>
      </c>
      <c r="K48">
        <v>3581</v>
      </c>
      <c r="L48">
        <v>3503</v>
      </c>
      <c r="M48" s="36">
        <f t="shared" si="14"/>
        <v>7084</v>
      </c>
      <c r="N48">
        <v>1646</v>
      </c>
      <c r="O48">
        <v>1331</v>
      </c>
      <c r="P48" s="36">
        <f t="shared" si="15"/>
        <v>2977</v>
      </c>
      <c r="Q48">
        <v>981</v>
      </c>
      <c r="R48">
        <v>844</v>
      </c>
      <c r="S48" s="36">
        <f t="shared" si="16"/>
        <v>1825</v>
      </c>
      <c r="T48">
        <v>1178</v>
      </c>
      <c r="U48">
        <v>1015</v>
      </c>
      <c r="V48" s="36">
        <f t="shared" si="17"/>
        <v>2193</v>
      </c>
      <c r="W48">
        <v>1371</v>
      </c>
      <c r="X48">
        <v>1380</v>
      </c>
      <c r="Y48" s="36">
        <f t="shared" si="18"/>
        <v>2751</v>
      </c>
      <c r="Z48">
        <v>2431</v>
      </c>
      <c r="AA48">
        <v>2529</v>
      </c>
      <c r="AB48" s="36">
        <f t="shared" si="19"/>
        <v>4960</v>
      </c>
      <c r="AC48">
        <v>465</v>
      </c>
      <c r="AD48">
        <v>287</v>
      </c>
      <c r="AE48" s="36">
        <f t="shared" si="20"/>
        <v>752</v>
      </c>
      <c r="AF48">
        <v>1166</v>
      </c>
      <c r="AG48">
        <v>1227</v>
      </c>
      <c r="AH48" s="36">
        <f t="shared" si="21"/>
        <v>2393</v>
      </c>
    </row>
    <row r="49" spans="1:34" x14ac:dyDescent="0.3">
      <c r="A49" t="s">
        <v>188</v>
      </c>
      <c r="B49">
        <v>318</v>
      </c>
      <c r="C49">
        <v>641</v>
      </c>
      <c r="D49" s="36">
        <f t="shared" si="11"/>
        <v>959</v>
      </c>
      <c r="E49">
        <v>402</v>
      </c>
      <c r="F49">
        <v>343</v>
      </c>
      <c r="G49" s="36">
        <f t="shared" si="12"/>
        <v>745</v>
      </c>
      <c r="H49">
        <v>831</v>
      </c>
      <c r="I49">
        <v>795</v>
      </c>
      <c r="J49" s="36">
        <f t="shared" si="13"/>
        <v>1626</v>
      </c>
      <c r="K49">
        <v>2329</v>
      </c>
      <c r="L49">
        <v>2787</v>
      </c>
      <c r="M49" s="36">
        <f t="shared" si="14"/>
        <v>5116</v>
      </c>
      <c r="N49">
        <v>906</v>
      </c>
      <c r="O49">
        <v>985</v>
      </c>
      <c r="P49" s="36">
        <f t="shared" si="15"/>
        <v>1891</v>
      </c>
      <c r="Q49">
        <v>434</v>
      </c>
      <c r="R49">
        <v>692</v>
      </c>
      <c r="S49" s="36">
        <f t="shared" si="16"/>
        <v>1126</v>
      </c>
      <c r="T49">
        <v>836</v>
      </c>
      <c r="U49">
        <v>596</v>
      </c>
      <c r="V49" s="36">
        <f t="shared" si="17"/>
        <v>1432</v>
      </c>
      <c r="W49">
        <v>891</v>
      </c>
      <c r="X49">
        <v>1025</v>
      </c>
      <c r="Y49" s="36">
        <f t="shared" si="18"/>
        <v>1916</v>
      </c>
      <c r="Z49">
        <v>1641</v>
      </c>
      <c r="AA49">
        <v>1516</v>
      </c>
      <c r="AB49" s="36">
        <f t="shared" si="19"/>
        <v>3157</v>
      </c>
      <c r="AC49">
        <v>212</v>
      </c>
      <c r="AD49">
        <v>248</v>
      </c>
      <c r="AE49" s="36">
        <f t="shared" si="20"/>
        <v>460</v>
      </c>
      <c r="AF49">
        <v>655</v>
      </c>
      <c r="AG49">
        <v>777</v>
      </c>
      <c r="AH49" s="36">
        <f t="shared" si="21"/>
        <v>1432</v>
      </c>
    </row>
    <row r="50" spans="1:34" x14ac:dyDescent="0.3">
      <c r="A50" t="s">
        <v>189</v>
      </c>
      <c r="B50">
        <v>259</v>
      </c>
      <c r="C50">
        <v>368</v>
      </c>
      <c r="D50" s="36">
        <f t="shared" si="11"/>
        <v>627</v>
      </c>
      <c r="E50">
        <v>175</v>
      </c>
      <c r="F50">
        <v>130</v>
      </c>
      <c r="G50" s="36">
        <f t="shared" si="12"/>
        <v>305</v>
      </c>
      <c r="H50">
        <v>601</v>
      </c>
      <c r="I50">
        <v>534</v>
      </c>
      <c r="J50" s="36">
        <f t="shared" si="13"/>
        <v>1135</v>
      </c>
      <c r="K50">
        <v>1128</v>
      </c>
      <c r="L50">
        <v>1258</v>
      </c>
      <c r="M50" s="36">
        <f t="shared" si="14"/>
        <v>2386</v>
      </c>
      <c r="N50">
        <v>596</v>
      </c>
      <c r="O50">
        <v>632</v>
      </c>
      <c r="P50" s="36">
        <f t="shared" si="15"/>
        <v>1228</v>
      </c>
      <c r="Q50">
        <v>227</v>
      </c>
      <c r="R50">
        <v>211</v>
      </c>
      <c r="S50" s="36">
        <f t="shared" si="16"/>
        <v>438</v>
      </c>
      <c r="T50">
        <v>302</v>
      </c>
      <c r="U50">
        <v>464</v>
      </c>
      <c r="V50" s="36">
        <f t="shared" si="17"/>
        <v>766</v>
      </c>
      <c r="W50">
        <v>758</v>
      </c>
      <c r="X50">
        <v>760</v>
      </c>
      <c r="Y50" s="36">
        <f t="shared" si="18"/>
        <v>1518</v>
      </c>
      <c r="Z50">
        <v>1049</v>
      </c>
      <c r="AA50">
        <v>689</v>
      </c>
      <c r="AB50" s="36">
        <f t="shared" si="19"/>
        <v>1738</v>
      </c>
      <c r="AC50">
        <v>101</v>
      </c>
      <c r="AD50">
        <v>213</v>
      </c>
      <c r="AE50" s="36">
        <f t="shared" si="20"/>
        <v>314</v>
      </c>
      <c r="AF50">
        <v>1014</v>
      </c>
      <c r="AG50">
        <v>1301</v>
      </c>
      <c r="AH50" s="36">
        <f t="shared" si="21"/>
        <v>2315</v>
      </c>
    </row>
    <row r="51" spans="1:34" x14ac:dyDescent="0.3">
      <c r="A51" t="s">
        <v>190</v>
      </c>
      <c r="B51">
        <v>442</v>
      </c>
      <c r="C51">
        <v>167</v>
      </c>
      <c r="D51" s="36">
        <f t="shared" si="11"/>
        <v>609</v>
      </c>
      <c r="E51">
        <v>133</v>
      </c>
      <c r="F51">
        <v>169</v>
      </c>
      <c r="G51" s="36">
        <f t="shared" si="12"/>
        <v>302</v>
      </c>
      <c r="H51">
        <v>369</v>
      </c>
      <c r="I51">
        <v>384</v>
      </c>
      <c r="J51" s="36">
        <f t="shared" si="13"/>
        <v>753</v>
      </c>
      <c r="K51">
        <v>881</v>
      </c>
      <c r="L51">
        <v>891</v>
      </c>
      <c r="M51" s="36">
        <f t="shared" si="14"/>
        <v>1772</v>
      </c>
      <c r="N51">
        <v>322</v>
      </c>
      <c r="O51">
        <v>368</v>
      </c>
      <c r="P51" s="36">
        <f t="shared" si="15"/>
        <v>690</v>
      </c>
      <c r="Q51">
        <v>183</v>
      </c>
      <c r="R51">
        <v>153</v>
      </c>
      <c r="S51" s="36">
        <f t="shared" si="16"/>
        <v>336</v>
      </c>
      <c r="T51">
        <v>237</v>
      </c>
      <c r="U51">
        <v>131</v>
      </c>
      <c r="V51" s="36">
        <f t="shared" si="17"/>
        <v>368</v>
      </c>
      <c r="W51">
        <v>252</v>
      </c>
      <c r="X51">
        <v>264</v>
      </c>
      <c r="Y51" s="36">
        <f t="shared" si="18"/>
        <v>516</v>
      </c>
      <c r="Z51">
        <v>528</v>
      </c>
      <c r="AA51">
        <v>658</v>
      </c>
      <c r="AB51" s="36">
        <f t="shared" si="19"/>
        <v>1186</v>
      </c>
      <c r="AC51">
        <v>156</v>
      </c>
      <c r="AD51">
        <v>80</v>
      </c>
      <c r="AE51" s="36">
        <f t="shared" si="20"/>
        <v>236</v>
      </c>
      <c r="AF51">
        <v>522</v>
      </c>
      <c r="AG51">
        <v>634</v>
      </c>
      <c r="AH51" s="36">
        <f t="shared" si="21"/>
        <v>1156</v>
      </c>
    </row>
    <row r="52" spans="1:34" x14ac:dyDescent="0.3">
      <c r="A52" t="s">
        <v>191</v>
      </c>
      <c r="B52">
        <v>155</v>
      </c>
      <c r="C52">
        <v>155</v>
      </c>
      <c r="D52" s="36">
        <f t="shared" si="11"/>
        <v>310</v>
      </c>
      <c r="E52">
        <v>179</v>
      </c>
      <c r="F52">
        <v>128</v>
      </c>
      <c r="G52" s="36">
        <f t="shared" si="12"/>
        <v>307</v>
      </c>
      <c r="H52">
        <v>772</v>
      </c>
      <c r="I52">
        <v>458</v>
      </c>
      <c r="J52" s="36">
        <f t="shared" si="13"/>
        <v>1230</v>
      </c>
      <c r="K52">
        <v>937</v>
      </c>
      <c r="L52">
        <v>877</v>
      </c>
      <c r="M52" s="36">
        <f t="shared" si="14"/>
        <v>1814</v>
      </c>
      <c r="N52">
        <v>398</v>
      </c>
      <c r="O52">
        <v>239</v>
      </c>
      <c r="P52" s="36">
        <f t="shared" si="15"/>
        <v>637</v>
      </c>
      <c r="Q52">
        <v>98</v>
      </c>
      <c r="R52">
        <v>80</v>
      </c>
      <c r="S52" s="36">
        <f t="shared" si="16"/>
        <v>178</v>
      </c>
      <c r="T52">
        <v>142</v>
      </c>
      <c r="U52">
        <v>140</v>
      </c>
      <c r="V52" s="36">
        <f t="shared" si="17"/>
        <v>282</v>
      </c>
      <c r="W52">
        <v>326</v>
      </c>
      <c r="X52">
        <v>337</v>
      </c>
      <c r="Y52" s="36">
        <f t="shared" si="18"/>
        <v>663</v>
      </c>
      <c r="Z52">
        <v>495</v>
      </c>
      <c r="AA52">
        <v>511</v>
      </c>
      <c r="AB52" s="36">
        <f t="shared" si="19"/>
        <v>1006</v>
      </c>
      <c r="AC52">
        <v>93</v>
      </c>
      <c r="AD52">
        <v>30</v>
      </c>
      <c r="AE52" s="36">
        <f t="shared" si="20"/>
        <v>123</v>
      </c>
      <c r="AF52">
        <v>414</v>
      </c>
      <c r="AG52">
        <v>338</v>
      </c>
      <c r="AH52" s="36">
        <f t="shared" si="21"/>
        <v>752</v>
      </c>
    </row>
    <row r="53" spans="1:34" x14ac:dyDescent="0.3">
      <c r="A53" t="s">
        <v>192</v>
      </c>
      <c r="B53">
        <v>703</v>
      </c>
      <c r="C53">
        <v>806</v>
      </c>
      <c r="D53" s="36">
        <f t="shared" si="11"/>
        <v>1509</v>
      </c>
      <c r="E53">
        <v>578</v>
      </c>
      <c r="F53">
        <v>619</v>
      </c>
      <c r="G53" s="36">
        <f t="shared" si="12"/>
        <v>1197</v>
      </c>
      <c r="H53">
        <v>1056</v>
      </c>
      <c r="I53">
        <v>1409</v>
      </c>
      <c r="J53" s="36">
        <f t="shared" si="13"/>
        <v>2465</v>
      </c>
      <c r="K53">
        <v>2425</v>
      </c>
      <c r="L53">
        <v>2382</v>
      </c>
      <c r="M53" s="36">
        <f t="shared" si="14"/>
        <v>4807</v>
      </c>
      <c r="N53">
        <v>889</v>
      </c>
      <c r="O53">
        <v>1029</v>
      </c>
      <c r="P53" s="36">
        <f t="shared" si="15"/>
        <v>1918</v>
      </c>
      <c r="Q53">
        <v>366</v>
      </c>
      <c r="R53">
        <v>723</v>
      </c>
      <c r="S53" s="36">
        <f t="shared" si="16"/>
        <v>1089</v>
      </c>
      <c r="T53">
        <v>831</v>
      </c>
      <c r="U53">
        <v>734</v>
      </c>
      <c r="V53" s="36">
        <f t="shared" si="17"/>
        <v>1565</v>
      </c>
      <c r="W53">
        <v>895</v>
      </c>
      <c r="X53">
        <v>1088</v>
      </c>
      <c r="Y53" s="36">
        <f t="shared" si="18"/>
        <v>1983</v>
      </c>
      <c r="Z53">
        <v>1652</v>
      </c>
      <c r="AA53">
        <v>1824</v>
      </c>
      <c r="AB53" s="36">
        <f t="shared" si="19"/>
        <v>3476</v>
      </c>
      <c r="AC53">
        <v>353</v>
      </c>
      <c r="AD53">
        <v>436</v>
      </c>
      <c r="AE53" s="36">
        <f t="shared" si="20"/>
        <v>789</v>
      </c>
      <c r="AF53">
        <v>1179</v>
      </c>
      <c r="AG53">
        <v>1004</v>
      </c>
      <c r="AH53" s="36">
        <f t="shared" si="21"/>
        <v>2183</v>
      </c>
    </row>
    <row r="54" spans="1:34" x14ac:dyDescent="0.3">
      <c r="A54" t="s">
        <v>193</v>
      </c>
      <c r="B54">
        <v>3058</v>
      </c>
      <c r="C54">
        <v>2447</v>
      </c>
      <c r="D54" s="36">
        <f t="shared" si="11"/>
        <v>5505</v>
      </c>
      <c r="E54">
        <v>1659</v>
      </c>
      <c r="F54">
        <v>1539</v>
      </c>
      <c r="G54" s="36">
        <f t="shared" si="12"/>
        <v>3198</v>
      </c>
      <c r="H54">
        <v>1958</v>
      </c>
      <c r="I54">
        <v>2846</v>
      </c>
      <c r="J54" s="36">
        <f t="shared" si="13"/>
        <v>4804</v>
      </c>
      <c r="K54">
        <v>3693</v>
      </c>
      <c r="L54">
        <v>4034</v>
      </c>
      <c r="M54" s="36">
        <f t="shared" si="14"/>
        <v>7727</v>
      </c>
      <c r="N54">
        <v>1540</v>
      </c>
      <c r="O54">
        <v>1856</v>
      </c>
      <c r="P54" s="36">
        <f t="shared" si="15"/>
        <v>3396</v>
      </c>
      <c r="Q54">
        <v>1221</v>
      </c>
      <c r="R54">
        <v>1077</v>
      </c>
      <c r="S54" s="36">
        <f t="shared" si="16"/>
        <v>2298</v>
      </c>
      <c r="T54">
        <v>1162</v>
      </c>
      <c r="U54">
        <v>931</v>
      </c>
      <c r="V54" s="36">
        <f t="shared" si="17"/>
        <v>2093</v>
      </c>
      <c r="W54">
        <v>1588</v>
      </c>
      <c r="X54">
        <v>1479</v>
      </c>
      <c r="Y54" s="36">
        <f t="shared" si="18"/>
        <v>3067</v>
      </c>
      <c r="Z54">
        <v>2723</v>
      </c>
      <c r="AA54">
        <v>2695</v>
      </c>
      <c r="AB54" s="36">
        <f t="shared" si="19"/>
        <v>5418</v>
      </c>
      <c r="AC54">
        <v>857</v>
      </c>
      <c r="AD54">
        <v>1047</v>
      </c>
      <c r="AE54" s="36">
        <f t="shared" si="20"/>
        <v>1904</v>
      </c>
      <c r="AF54">
        <v>1367</v>
      </c>
      <c r="AG54">
        <v>982</v>
      </c>
      <c r="AH54" s="36">
        <f t="shared" si="21"/>
        <v>2349</v>
      </c>
    </row>
    <row r="55" spans="1:34" x14ac:dyDescent="0.3">
      <c r="A55" t="s">
        <v>194</v>
      </c>
      <c r="B55">
        <v>2558</v>
      </c>
      <c r="C55">
        <v>2127</v>
      </c>
      <c r="D55" s="36">
        <f t="shared" si="11"/>
        <v>4685</v>
      </c>
      <c r="E55">
        <v>1467</v>
      </c>
      <c r="F55">
        <v>1623</v>
      </c>
      <c r="G55" s="36">
        <f t="shared" si="12"/>
        <v>3090</v>
      </c>
      <c r="H55">
        <v>1687</v>
      </c>
      <c r="I55">
        <v>1681</v>
      </c>
      <c r="J55" s="36">
        <f t="shared" si="13"/>
        <v>3368</v>
      </c>
      <c r="K55">
        <v>3869</v>
      </c>
      <c r="L55">
        <v>3976</v>
      </c>
      <c r="M55" s="36">
        <f t="shared" si="14"/>
        <v>7845</v>
      </c>
      <c r="N55">
        <v>1777</v>
      </c>
      <c r="O55">
        <v>1327</v>
      </c>
      <c r="P55" s="36">
        <f t="shared" si="15"/>
        <v>3104</v>
      </c>
      <c r="Q55">
        <v>1154</v>
      </c>
      <c r="R55">
        <v>1589</v>
      </c>
      <c r="S55" s="36">
        <f t="shared" si="16"/>
        <v>2743</v>
      </c>
      <c r="T55">
        <v>840</v>
      </c>
      <c r="U55">
        <v>900</v>
      </c>
      <c r="V55" s="36">
        <f t="shared" si="17"/>
        <v>1740</v>
      </c>
      <c r="W55">
        <v>1079</v>
      </c>
      <c r="X55">
        <v>1545</v>
      </c>
      <c r="Y55" s="36">
        <f t="shared" si="18"/>
        <v>2624</v>
      </c>
      <c r="Z55">
        <v>2802</v>
      </c>
      <c r="AA55">
        <v>2440</v>
      </c>
      <c r="AB55" s="36">
        <f t="shared" si="19"/>
        <v>5242</v>
      </c>
      <c r="AC55">
        <v>945</v>
      </c>
      <c r="AD55">
        <v>1064</v>
      </c>
      <c r="AE55" s="36">
        <f t="shared" si="20"/>
        <v>2009</v>
      </c>
      <c r="AF55">
        <v>1051</v>
      </c>
      <c r="AG55">
        <v>1220</v>
      </c>
      <c r="AH55" s="36">
        <f t="shared" si="21"/>
        <v>2271</v>
      </c>
    </row>
    <row r="56" spans="1:34" x14ac:dyDescent="0.3">
      <c r="A56" t="s">
        <v>195</v>
      </c>
      <c r="B56">
        <v>1257</v>
      </c>
      <c r="C56">
        <v>1760</v>
      </c>
      <c r="D56" s="36">
        <f t="shared" si="11"/>
        <v>3017</v>
      </c>
      <c r="E56">
        <v>1108</v>
      </c>
      <c r="F56">
        <v>1007</v>
      </c>
      <c r="G56" s="36">
        <f t="shared" si="12"/>
        <v>2115</v>
      </c>
      <c r="H56">
        <v>1597</v>
      </c>
      <c r="I56">
        <v>1581</v>
      </c>
      <c r="J56" s="36">
        <f t="shared" si="13"/>
        <v>3178</v>
      </c>
      <c r="K56">
        <v>3508</v>
      </c>
      <c r="L56">
        <v>2968</v>
      </c>
      <c r="M56" s="36">
        <f t="shared" si="14"/>
        <v>6476</v>
      </c>
      <c r="N56">
        <v>1579</v>
      </c>
      <c r="O56">
        <v>1571</v>
      </c>
      <c r="P56" s="36">
        <f t="shared" si="15"/>
        <v>3150</v>
      </c>
      <c r="Q56">
        <v>1197</v>
      </c>
      <c r="R56">
        <v>877</v>
      </c>
      <c r="S56" s="36">
        <f t="shared" si="16"/>
        <v>2074</v>
      </c>
      <c r="T56">
        <v>1112</v>
      </c>
      <c r="U56">
        <v>1257</v>
      </c>
      <c r="V56" s="36">
        <f t="shared" si="17"/>
        <v>2369</v>
      </c>
      <c r="W56">
        <v>1275</v>
      </c>
      <c r="X56">
        <v>1358</v>
      </c>
      <c r="Y56" s="36">
        <f t="shared" si="18"/>
        <v>2633</v>
      </c>
      <c r="Z56">
        <v>2050</v>
      </c>
      <c r="AA56">
        <v>2075</v>
      </c>
      <c r="AB56" s="36">
        <f t="shared" si="19"/>
        <v>4125</v>
      </c>
      <c r="AC56">
        <v>549</v>
      </c>
      <c r="AD56">
        <v>807</v>
      </c>
      <c r="AE56" s="36">
        <f t="shared" si="20"/>
        <v>1356</v>
      </c>
      <c r="AF56">
        <v>947</v>
      </c>
      <c r="AG56">
        <v>1317</v>
      </c>
      <c r="AH56" s="36">
        <f t="shared" si="21"/>
        <v>2264</v>
      </c>
    </row>
    <row r="57" spans="1:34" x14ac:dyDescent="0.3">
      <c r="A57" t="s">
        <v>196</v>
      </c>
      <c r="B57">
        <v>1793</v>
      </c>
      <c r="C57">
        <v>1801</v>
      </c>
      <c r="D57" s="36">
        <f t="shared" si="11"/>
        <v>3594</v>
      </c>
      <c r="E57">
        <v>1184</v>
      </c>
      <c r="F57">
        <v>1065</v>
      </c>
      <c r="G57" s="36">
        <f t="shared" si="12"/>
        <v>2249</v>
      </c>
      <c r="H57">
        <v>1133</v>
      </c>
      <c r="I57">
        <v>1428</v>
      </c>
      <c r="J57" s="36">
        <f t="shared" si="13"/>
        <v>2561</v>
      </c>
      <c r="K57">
        <v>3120</v>
      </c>
      <c r="L57">
        <v>3007</v>
      </c>
      <c r="M57" s="36">
        <f t="shared" si="14"/>
        <v>6127</v>
      </c>
      <c r="N57">
        <v>1330</v>
      </c>
      <c r="O57">
        <v>1553</v>
      </c>
      <c r="P57" s="36">
        <f t="shared" si="15"/>
        <v>2883</v>
      </c>
      <c r="Q57">
        <v>919</v>
      </c>
      <c r="R57">
        <v>1395</v>
      </c>
      <c r="S57" s="36">
        <f t="shared" si="16"/>
        <v>2314</v>
      </c>
      <c r="T57">
        <v>1635</v>
      </c>
      <c r="U57">
        <v>1761</v>
      </c>
      <c r="V57" s="36">
        <f t="shared" si="17"/>
        <v>3396</v>
      </c>
      <c r="W57">
        <v>1353</v>
      </c>
      <c r="X57">
        <v>1221</v>
      </c>
      <c r="Y57" s="36">
        <f t="shared" si="18"/>
        <v>2574</v>
      </c>
      <c r="Z57">
        <v>1705</v>
      </c>
      <c r="AA57">
        <v>2039</v>
      </c>
      <c r="AB57" s="36">
        <f t="shared" si="19"/>
        <v>3744</v>
      </c>
      <c r="AC57">
        <v>840</v>
      </c>
      <c r="AD57">
        <v>783</v>
      </c>
      <c r="AE57" s="36">
        <f t="shared" si="20"/>
        <v>1623</v>
      </c>
      <c r="AF57">
        <v>1230</v>
      </c>
      <c r="AG57">
        <v>1365</v>
      </c>
      <c r="AH57" s="36">
        <f t="shared" si="21"/>
        <v>2595</v>
      </c>
    </row>
    <row r="58" spans="1:34" x14ac:dyDescent="0.3">
      <c r="A58" t="s">
        <v>197</v>
      </c>
      <c r="B58">
        <v>1743</v>
      </c>
      <c r="C58">
        <v>1050</v>
      </c>
      <c r="D58" s="36">
        <f t="shared" si="11"/>
        <v>2793</v>
      </c>
      <c r="E58">
        <v>1278</v>
      </c>
      <c r="F58">
        <v>1108</v>
      </c>
      <c r="G58" s="36">
        <f t="shared" si="12"/>
        <v>2386</v>
      </c>
      <c r="H58">
        <v>1240</v>
      </c>
      <c r="I58">
        <v>1498</v>
      </c>
      <c r="J58" s="36">
        <f t="shared" si="13"/>
        <v>2738</v>
      </c>
      <c r="K58">
        <v>3207</v>
      </c>
      <c r="L58">
        <v>3453</v>
      </c>
      <c r="M58" s="36">
        <f t="shared" si="14"/>
        <v>6660</v>
      </c>
      <c r="N58">
        <v>1483</v>
      </c>
      <c r="O58">
        <v>1593</v>
      </c>
      <c r="P58" s="36">
        <f t="shared" si="15"/>
        <v>3076</v>
      </c>
      <c r="Q58">
        <v>1251</v>
      </c>
      <c r="R58">
        <v>1007</v>
      </c>
      <c r="S58" s="36">
        <f t="shared" si="16"/>
        <v>2258</v>
      </c>
      <c r="T58">
        <v>1379</v>
      </c>
      <c r="U58">
        <v>1621</v>
      </c>
      <c r="V58" s="36">
        <f t="shared" si="17"/>
        <v>3000</v>
      </c>
      <c r="W58">
        <v>1032</v>
      </c>
      <c r="X58">
        <v>1162</v>
      </c>
      <c r="Y58" s="36">
        <f t="shared" si="18"/>
        <v>2194</v>
      </c>
      <c r="Z58">
        <v>1745</v>
      </c>
      <c r="AA58">
        <v>1544</v>
      </c>
      <c r="AB58" s="36">
        <f t="shared" si="19"/>
        <v>3289</v>
      </c>
      <c r="AC58">
        <v>617</v>
      </c>
      <c r="AD58">
        <v>413</v>
      </c>
      <c r="AE58" s="36">
        <f t="shared" si="20"/>
        <v>1030</v>
      </c>
      <c r="AF58">
        <v>1602</v>
      </c>
      <c r="AG58">
        <v>1519</v>
      </c>
      <c r="AH58" s="36">
        <f t="shared" si="21"/>
        <v>3121</v>
      </c>
    </row>
    <row r="59" spans="1:34" x14ac:dyDescent="0.3">
      <c r="A59" t="s">
        <v>198</v>
      </c>
      <c r="B59">
        <v>1623</v>
      </c>
      <c r="C59">
        <v>1255</v>
      </c>
      <c r="D59" s="36">
        <f t="shared" si="11"/>
        <v>2878</v>
      </c>
      <c r="E59">
        <v>1244</v>
      </c>
      <c r="F59">
        <v>1354</v>
      </c>
      <c r="G59" s="36">
        <f t="shared" si="12"/>
        <v>2598</v>
      </c>
      <c r="H59">
        <v>1421</v>
      </c>
      <c r="I59">
        <v>1230</v>
      </c>
      <c r="J59" s="36">
        <f t="shared" si="13"/>
        <v>2651</v>
      </c>
      <c r="K59">
        <v>2239</v>
      </c>
      <c r="L59">
        <v>3108</v>
      </c>
      <c r="M59" s="36">
        <f t="shared" si="14"/>
        <v>5347</v>
      </c>
      <c r="N59">
        <v>1373</v>
      </c>
      <c r="O59">
        <v>1654</v>
      </c>
      <c r="P59" s="36">
        <f t="shared" si="15"/>
        <v>3027</v>
      </c>
      <c r="Q59">
        <v>1184</v>
      </c>
      <c r="R59">
        <v>1110</v>
      </c>
      <c r="S59" s="36">
        <f t="shared" si="16"/>
        <v>2294</v>
      </c>
      <c r="T59">
        <v>1622</v>
      </c>
      <c r="U59">
        <v>1719</v>
      </c>
      <c r="V59" s="36">
        <f t="shared" si="17"/>
        <v>3341</v>
      </c>
      <c r="W59">
        <v>1338</v>
      </c>
      <c r="X59">
        <v>1250</v>
      </c>
      <c r="Y59" s="36">
        <f t="shared" si="18"/>
        <v>2588</v>
      </c>
      <c r="Z59">
        <v>1721</v>
      </c>
      <c r="AA59">
        <v>1446</v>
      </c>
      <c r="AB59" s="36">
        <f t="shared" si="19"/>
        <v>3167</v>
      </c>
      <c r="AC59">
        <v>746</v>
      </c>
      <c r="AD59">
        <v>873</v>
      </c>
      <c r="AE59" s="36">
        <f t="shared" si="20"/>
        <v>1619</v>
      </c>
      <c r="AF59">
        <v>1389</v>
      </c>
      <c r="AG59">
        <v>1258</v>
      </c>
      <c r="AH59" s="36">
        <f t="shared" si="21"/>
        <v>2647</v>
      </c>
    </row>
    <row r="60" spans="1:34" x14ac:dyDescent="0.3">
      <c r="A60" t="s">
        <v>199</v>
      </c>
      <c r="B60">
        <v>1476</v>
      </c>
      <c r="C60">
        <v>1041</v>
      </c>
      <c r="D60" s="36">
        <f t="shared" si="11"/>
        <v>2517</v>
      </c>
      <c r="E60">
        <v>1258</v>
      </c>
      <c r="F60">
        <v>1261</v>
      </c>
      <c r="G60" s="36">
        <f t="shared" si="12"/>
        <v>2519</v>
      </c>
      <c r="H60">
        <v>1087</v>
      </c>
      <c r="I60">
        <v>1010</v>
      </c>
      <c r="J60" s="36">
        <f t="shared" si="13"/>
        <v>2097</v>
      </c>
      <c r="K60">
        <v>2106</v>
      </c>
      <c r="L60">
        <v>2313</v>
      </c>
      <c r="M60" s="36">
        <f t="shared" si="14"/>
        <v>4419</v>
      </c>
      <c r="N60">
        <v>876</v>
      </c>
      <c r="O60">
        <v>958</v>
      </c>
      <c r="P60" s="36">
        <f t="shared" si="15"/>
        <v>1834</v>
      </c>
      <c r="Q60">
        <v>1065</v>
      </c>
      <c r="R60">
        <v>1423</v>
      </c>
      <c r="S60" s="36">
        <f t="shared" si="16"/>
        <v>2488</v>
      </c>
      <c r="T60">
        <v>1487</v>
      </c>
      <c r="U60">
        <v>1467</v>
      </c>
      <c r="V60" s="36">
        <f t="shared" si="17"/>
        <v>2954</v>
      </c>
      <c r="W60">
        <v>924</v>
      </c>
      <c r="X60">
        <v>992</v>
      </c>
      <c r="Y60" s="36">
        <f t="shared" si="18"/>
        <v>1916</v>
      </c>
      <c r="Z60">
        <v>1353</v>
      </c>
      <c r="AA60">
        <v>1497</v>
      </c>
      <c r="AB60" s="36">
        <f t="shared" si="19"/>
        <v>2850</v>
      </c>
      <c r="AC60">
        <v>568</v>
      </c>
      <c r="AD60">
        <v>541</v>
      </c>
      <c r="AE60" s="36">
        <f t="shared" si="20"/>
        <v>1109</v>
      </c>
      <c r="AF60">
        <v>1343</v>
      </c>
      <c r="AG60">
        <v>1457</v>
      </c>
      <c r="AH60" s="36">
        <f t="shared" si="21"/>
        <v>2800</v>
      </c>
    </row>
    <row r="61" spans="1:34" x14ac:dyDescent="0.3">
      <c r="A61" t="s">
        <v>200</v>
      </c>
      <c r="B61">
        <v>335</v>
      </c>
      <c r="C61">
        <v>535</v>
      </c>
      <c r="D61" s="36">
        <f t="shared" si="11"/>
        <v>870</v>
      </c>
      <c r="E61">
        <v>395</v>
      </c>
      <c r="F61">
        <v>453</v>
      </c>
      <c r="G61" s="36">
        <f t="shared" si="12"/>
        <v>848</v>
      </c>
      <c r="H61">
        <v>315</v>
      </c>
      <c r="I61">
        <v>377</v>
      </c>
      <c r="J61" s="36">
        <f t="shared" si="13"/>
        <v>692</v>
      </c>
      <c r="K61">
        <v>849</v>
      </c>
      <c r="L61">
        <v>1198</v>
      </c>
      <c r="M61" s="36">
        <f t="shared" si="14"/>
        <v>2047</v>
      </c>
      <c r="N61">
        <v>418</v>
      </c>
      <c r="O61">
        <v>550</v>
      </c>
      <c r="P61" s="36">
        <f t="shared" si="15"/>
        <v>968</v>
      </c>
      <c r="Q61">
        <v>490</v>
      </c>
      <c r="R61">
        <v>551</v>
      </c>
      <c r="S61" s="36">
        <f t="shared" si="16"/>
        <v>1041</v>
      </c>
      <c r="T61">
        <v>712</v>
      </c>
      <c r="U61">
        <v>596</v>
      </c>
      <c r="V61" s="36">
        <f t="shared" si="17"/>
        <v>1308</v>
      </c>
      <c r="W61">
        <v>494</v>
      </c>
      <c r="X61">
        <v>396</v>
      </c>
      <c r="Y61" s="36">
        <f t="shared" si="18"/>
        <v>890</v>
      </c>
      <c r="Z61">
        <v>421</v>
      </c>
      <c r="AA61">
        <v>464</v>
      </c>
      <c r="AB61" s="36">
        <f t="shared" si="19"/>
        <v>885</v>
      </c>
      <c r="AC61">
        <v>184</v>
      </c>
      <c r="AD61">
        <v>158</v>
      </c>
      <c r="AE61" s="36">
        <f t="shared" si="20"/>
        <v>342</v>
      </c>
      <c r="AF61">
        <v>549</v>
      </c>
      <c r="AG61">
        <v>533</v>
      </c>
      <c r="AH61" s="36">
        <f t="shared" si="21"/>
        <v>1082</v>
      </c>
    </row>
    <row r="62" spans="1:34" x14ac:dyDescent="0.3">
      <c r="A62" t="s">
        <v>201</v>
      </c>
      <c r="B62">
        <v>781</v>
      </c>
      <c r="C62">
        <v>544</v>
      </c>
      <c r="D62" s="36">
        <f t="shared" si="11"/>
        <v>1325</v>
      </c>
      <c r="E62">
        <v>502</v>
      </c>
      <c r="F62">
        <v>627</v>
      </c>
      <c r="G62" s="36">
        <f t="shared" si="12"/>
        <v>1129</v>
      </c>
      <c r="H62">
        <v>371</v>
      </c>
      <c r="I62">
        <v>416</v>
      </c>
      <c r="J62" s="36">
        <f t="shared" si="13"/>
        <v>787</v>
      </c>
      <c r="K62">
        <v>1185</v>
      </c>
      <c r="L62">
        <v>1392</v>
      </c>
      <c r="M62" s="36">
        <f t="shared" si="14"/>
        <v>2577</v>
      </c>
      <c r="N62">
        <v>594</v>
      </c>
      <c r="O62">
        <v>616</v>
      </c>
      <c r="P62" s="36">
        <f t="shared" si="15"/>
        <v>1210</v>
      </c>
      <c r="Q62">
        <v>426</v>
      </c>
      <c r="R62">
        <v>576</v>
      </c>
      <c r="S62" s="36">
        <f t="shared" si="16"/>
        <v>1002</v>
      </c>
      <c r="T62">
        <v>537</v>
      </c>
      <c r="U62">
        <v>837</v>
      </c>
      <c r="V62" s="36">
        <f t="shared" si="17"/>
        <v>1374</v>
      </c>
      <c r="W62">
        <v>581</v>
      </c>
      <c r="X62">
        <v>771</v>
      </c>
      <c r="Y62" s="36">
        <f t="shared" si="18"/>
        <v>1352</v>
      </c>
      <c r="Z62">
        <v>501</v>
      </c>
      <c r="AA62">
        <v>800</v>
      </c>
      <c r="AB62" s="36">
        <f t="shared" si="19"/>
        <v>1301</v>
      </c>
      <c r="AC62">
        <v>315</v>
      </c>
      <c r="AD62">
        <v>345</v>
      </c>
      <c r="AE62" s="36">
        <f t="shared" si="20"/>
        <v>660</v>
      </c>
      <c r="AF62">
        <v>563</v>
      </c>
      <c r="AG62">
        <v>655</v>
      </c>
      <c r="AH62" s="36">
        <f t="shared" si="21"/>
        <v>1218</v>
      </c>
    </row>
    <row r="63" spans="1:34" x14ac:dyDescent="0.3">
      <c r="A63" t="s">
        <v>202</v>
      </c>
      <c r="B63">
        <v>354</v>
      </c>
      <c r="C63">
        <v>299</v>
      </c>
      <c r="D63" s="36">
        <f t="shared" si="11"/>
        <v>653</v>
      </c>
      <c r="E63">
        <v>652</v>
      </c>
      <c r="F63">
        <v>556</v>
      </c>
      <c r="G63" s="36">
        <f t="shared" si="12"/>
        <v>1208</v>
      </c>
      <c r="H63">
        <v>234</v>
      </c>
      <c r="I63">
        <v>240</v>
      </c>
      <c r="J63" s="36">
        <f t="shared" si="13"/>
        <v>474</v>
      </c>
      <c r="K63">
        <v>701</v>
      </c>
      <c r="L63">
        <v>739</v>
      </c>
      <c r="M63" s="36">
        <f t="shared" si="14"/>
        <v>1440</v>
      </c>
      <c r="N63">
        <v>246</v>
      </c>
      <c r="O63">
        <v>336</v>
      </c>
      <c r="P63" s="36">
        <f t="shared" si="15"/>
        <v>582</v>
      </c>
      <c r="Q63">
        <v>517</v>
      </c>
      <c r="R63">
        <v>305</v>
      </c>
      <c r="S63" s="36">
        <f t="shared" si="16"/>
        <v>822</v>
      </c>
      <c r="T63">
        <v>431</v>
      </c>
      <c r="U63">
        <v>375</v>
      </c>
      <c r="V63" s="36">
        <f t="shared" si="17"/>
        <v>806</v>
      </c>
      <c r="W63">
        <v>358</v>
      </c>
      <c r="X63">
        <v>375</v>
      </c>
      <c r="Y63" s="36">
        <f t="shared" si="18"/>
        <v>733</v>
      </c>
      <c r="Z63">
        <v>359</v>
      </c>
      <c r="AA63">
        <v>432</v>
      </c>
      <c r="AB63" s="36">
        <f t="shared" si="19"/>
        <v>791</v>
      </c>
      <c r="AC63">
        <v>131</v>
      </c>
      <c r="AD63">
        <v>130</v>
      </c>
      <c r="AE63" s="36">
        <f t="shared" si="20"/>
        <v>261</v>
      </c>
      <c r="AF63">
        <v>369</v>
      </c>
      <c r="AG63">
        <v>388</v>
      </c>
      <c r="AH63" s="36">
        <f t="shared" si="21"/>
        <v>757</v>
      </c>
    </row>
    <row r="64" spans="1:34" x14ac:dyDescent="0.3">
      <c r="A64" t="s">
        <v>203</v>
      </c>
      <c r="B64">
        <v>373</v>
      </c>
      <c r="C64">
        <v>449</v>
      </c>
      <c r="D64" s="36">
        <f t="shared" si="11"/>
        <v>822</v>
      </c>
      <c r="E64">
        <v>588</v>
      </c>
      <c r="F64">
        <v>671</v>
      </c>
      <c r="G64" s="36">
        <f t="shared" si="12"/>
        <v>1259</v>
      </c>
      <c r="H64">
        <v>289</v>
      </c>
      <c r="I64">
        <v>357</v>
      </c>
      <c r="J64" s="36">
        <f t="shared" si="13"/>
        <v>646</v>
      </c>
      <c r="K64">
        <v>834</v>
      </c>
      <c r="L64">
        <v>800</v>
      </c>
      <c r="M64" s="36">
        <f t="shared" si="14"/>
        <v>1634</v>
      </c>
      <c r="N64">
        <v>372</v>
      </c>
      <c r="O64">
        <v>448</v>
      </c>
      <c r="P64" s="36">
        <f t="shared" si="15"/>
        <v>820</v>
      </c>
      <c r="Q64">
        <v>421</v>
      </c>
      <c r="R64">
        <v>527</v>
      </c>
      <c r="S64" s="36">
        <f t="shared" si="16"/>
        <v>948</v>
      </c>
      <c r="T64">
        <v>582</v>
      </c>
      <c r="U64">
        <v>550</v>
      </c>
      <c r="V64" s="36">
        <f t="shared" si="17"/>
        <v>1132</v>
      </c>
      <c r="W64">
        <v>414</v>
      </c>
      <c r="X64">
        <v>460</v>
      </c>
      <c r="Y64" s="36">
        <f t="shared" si="18"/>
        <v>874</v>
      </c>
      <c r="Z64">
        <v>514</v>
      </c>
      <c r="AA64">
        <v>448</v>
      </c>
      <c r="AB64" s="36">
        <f t="shared" si="19"/>
        <v>962</v>
      </c>
      <c r="AC64">
        <v>310</v>
      </c>
      <c r="AD64">
        <v>308</v>
      </c>
      <c r="AE64" s="36">
        <f t="shared" si="20"/>
        <v>618</v>
      </c>
      <c r="AF64">
        <v>552</v>
      </c>
      <c r="AG64">
        <v>545</v>
      </c>
      <c r="AH64" s="36">
        <f t="shared" si="21"/>
        <v>1097</v>
      </c>
    </row>
    <row r="65" spans="1:34" x14ac:dyDescent="0.3">
      <c r="A65" t="s">
        <v>204</v>
      </c>
      <c r="B65">
        <v>319</v>
      </c>
      <c r="C65">
        <v>456</v>
      </c>
      <c r="D65" s="36">
        <f t="shared" si="11"/>
        <v>775</v>
      </c>
      <c r="E65">
        <v>797</v>
      </c>
      <c r="F65">
        <v>743</v>
      </c>
      <c r="G65" s="36">
        <f t="shared" si="12"/>
        <v>1540</v>
      </c>
      <c r="H65">
        <v>350</v>
      </c>
      <c r="I65">
        <v>403</v>
      </c>
      <c r="J65" s="36">
        <f t="shared" si="13"/>
        <v>753</v>
      </c>
      <c r="K65">
        <v>955</v>
      </c>
      <c r="L65">
        <v>1020</v>
      </c>
      <c r="M65" s="36">
        <f t="shared" si="14"/>
        <v>1975</v>
      </c>
      <c r="N65">
        <v>340</v>
      </c>
      <c r="O65">
        <v>552</v>
      </c>
      <c r="P65" s="36">
        <f t="shared" si="15"/>
        <v>892</v>
      </c>
      <c r="Q65">
        <v>522</v>
      </c>
      <c r="R65">
        <v>498</v>
      </c>
      <c r="S65" s="36">
        <f t="shared" si="16"/>
        <v>1020</v>
      </c>
      <c r="T65">
        <v>684</v>
      </c>
      <c r="U65">
        <v>784</v>
      </c>
      <c r="V65" s="36">
        <f t="shared" si="17"/>
        <v>1468</v>
      </c>
      <c r="W65">
        <v>382</v>
      </c>
      <c r="X65">
        <v>635</v>
      </c>
      <c r="Y65" s="36">
        <f t="shared" si="18"/>
        <v>1017</v>
      </c>
      <c r="Z65">
        <v>437</v>
      </c>
      <c r="AA65">
        <v>531</v>
      </c>
      <c r="AB65" s="36">
        <f t="shared" si="19"/>
        <v>968</v>
      </c>
      <c r="AC65">
        <v>278</v>
      </c>
      <c r="AD65">
        <v>296</v>
      </c>
      <c r="AE65" s="36">
        <f t="shared" si="20"/>
        <v>574</v>
      </c>
      <c r="AF65">
        <v>718</v>
      </c>
      <c r="AG65">
        <v>717</v>
      </c>
      <c r="AH65" s="36">
        <f t="shared" si="21"/>
        <v>1435</v>
      </c>
    </row>
    <row r="66" spans="1:34" x14ac:dyDescent="0.3">
      <c r="A66" t="s">
        <v>205</v>
      </c>
      <c r="B66">
        <v>252</v>
      </c>
      <c r="C66">
        <v>376</v>
      </c>
      <c r="D66" s="36">
        <f t="shared" si="11"/>
        <v>628</v>
      </c>
      <c r="E66">
        <v>338</v>
      </c>
      <c r="F66">
        <v>532</v>
      </c>
      <c r="G66" s="36">
        <f t="shared" si="12"/>
        <v>870</v>
      </c>
      <c r="H66">
        <v>186</v>
      </c>
      <c r="I66">
        <v>307</v>
      </c>
      <c r="J66" s="36">
        <f t="shared" si="13"/>
        <v>493</v>
      </c>
      <c r="K66">
        <v>491</v>
      </c>
      <c r="L66">
        <v>509</v>
      </c>
      <c r="M66" s="36">
        <f t="shared" si="14"/>
        <v>1000</v>
      </c>
      <c r="N66">
        <v>275</v>
      </c>
      <c r="O66">
        <v>389</v>
      </c>
      <c r="P66" s="36">
        <f t="shared" si="15"/>
        <v>664</v>
      </c>
      <c r="Q66">
        <v>352</v>
      </c>
      <c r="R66">
        <v>450</v>
      </c>
      <c r="S66" s="36">
        <f t="shared" si="16"/>
        <v>802</v>
      </c>
      <c r="T66">
        <v>388</v>
      </c>
      <c r="U66">
        <v>346</v>
      </c>
      <c r="V66" s="36">
        <f t="shared" si="17"/>
        <v>734</v>
      </c>
      <c r="W66">
        <v>161</v>
      </c>
      <c r="X66">
        <v>306</v>
      </c>
      <c r="Y66" s="36">
        <f t="shared" si="18"/>
        <v>467</v>
      </c>
      <c r="Z66">
        <v>343</v>
      </c>
      <c r="AA66">
        <v>385</v>
      </c>
      <c r="AB66" s="36">
        <f t="shared" si="19"/>
        <v>728</v>
      </c>
      <c r="AC66">
        <v>97</v>
      </c>
      <c r="AD66">
        <v>161</v>
      </c>
      <c r="AE66" s="36">
        <f t="shared" si="20"/>
        <v>258</v>
      </c>
      <c r="AF66">
        <v>392</v>
      </c>
      <c r="AG66">
        <v>544</v>
      </c>
      <c r="AH66" s="36">
        <f t="shared" si="21"/>
        <v>936</v>
      </c>
    </row>
    <row r="67" spans="1:34" x14ac:dyDescent="0.3">
      <c r="A67" t="s">
        <v>206</v>
      </c>
      <c r="B67">
        <v>229</v>
      </c>
      <c r="C67">
        <v>277</v>
      </c>
      <c r="D67" s="36">
        <f t="shared" si="11"/>
        <v>506</v>
      </c>
      <c r="E67">
        <v>273</v>
      </c>
      <c r="F67">
        <v>296</v>
      </c>
      <c r="G67" s="36">
        <f t="shared" si="12"/>
        <v>569</v>
      </c>
      <c r="H67">
        <v>92</v>
      </c>
      <c r="I67">
        <v>97</v>
      </c>
      <c r="J67" s="36">
        <f t="shared" si="13"/>
        <v>189</v>
      </c>
      <c r="K67">
        <v>347</v>
      </c>
      <c r="L67">
        <v>379</v>
      </c>
      <c r="M67" s="36">
        <f t="shared" si="14"/>
        <v>726</v>
      </c>
      <c r="N67">
        <v>219</v>
      </c>
      <c r="O67">
        <v>404</v>
      </c>
      <c r="P67" s="36">
        <f t="shared" si="15"/>
        <v>623</v>
      </c>
      <c r="Q67">
        <v>165</v>
      </c>
      <c r="R67">
        <v>275</v>
      </c>
      <c r="S67" s="36">
        <f t="shared" si="16"/>
        <v>440</v>
      </c>
      <c r="T67">
        <v>321</v>
      </c>
      <c r="U67">
        <v>523</v>
      </c>
      <c r="V67" s="36">
        <f t="shared" si="17"/>
        <v>844</v>
      </c>
      <c r="W67">
        <v>263</v>
      </c>
      <c r="X67">
        <v>386</v>
      </c>
      <c r="Y67" s="36">
        <f t="shared" si="18"/>
        <v>649</v>
      </c>
      <c r="Z67">
        <v>154</v>
      </c>
      <c r="AA67">
        <v>151</v>
      </c>
      <c r="AB67" s="36">
        <f t="shared" si="19"/>
        <v>305</v>
      </c>
      <c r="AC67">
        <v>59</v>
      </c>
      <c r="AD67">
        <v>183</v>
      </c>
      <c r="AE67" s="36">
        <f t="shared" si="20"/>
        <v>242</v>
      </c>
      <c r="AF67">
        <v>242</v>
      </c>
      <c r="AG67">
        <v>361</v>
      </c>
      <c r="AH67" s="36">
        <f t="shared" si="21"/>
        <v>603</v>
      </c>
    </row>
    <row r="68" spans="1:34" x14ac:dyDescent="0.3">
      <c r="A68" t="s">
        <v>207</v>
      </c>
      <c r="B68">
        <v>229</v>
      </c>
      <c r="C68">
        <v>204</v>
      </c>
      <c r="D68" s="36">
        <f t="shared" si="11"/>
        <v>433</v>
      </c>
      <c r="E68">
        <v>319</v>
      </c>
      <c r="F68">
        <v>350</v>
      </c>
      <c r="G68" s="36">
        <f t="shared" si="12"/>
        <v>669</v>
      </c>
      <c r="H68">
        <v>122</v>
      </c>
      <c r="I68">
        <v>142</v>
      </c>
      <c r="J68" s="36">
        <f t="shared" si="13"/>
        <v>264</v>
      </c>
      <c r="K68">
        <v>263</v>
      </c>
      <c r="L68">
        <v>457</v>
      </c>
      <c r="M68" s="36">
        <f t="shared" si="14"/>
        <v>720</v>
      </c>
      <c r="N68">
        <v>169</v>
      </c>
      <c r="O68">
        <v>271</v>
      </c>
      <c r="P68" s="36">
        <f t="shared" si="15"/>
        <v>440</v>
      </c>
      <c r="Q68">
        <v>317</v>
      </c>
      <c r="R68">
        <v>508</v>
      </c>
      <c r="S68" s="36">
        <f t="shared" si="16"/>
        <v>825</v>
      </c>
      <c r="T68">
        <v>332</v>
      </c>
      <c r="U68">
        <v>585</v>
      </c>
      <c r="V68" s="36">
        <f t="shared" si="17"/>
        <v>917</v>
      </c>
      <c r="W68">
        <v>142</v>
      </c>
      <c r="X68">
        <v>342</v>
      </c>
      <c r="Y68" s="36">
        <f t="shared" si="18"/>
        <v>484</v>
      </c>
      <c r="Z68">
        <v>71</v>
      </c>
      <c r="AA68">
        <v>312</v>
      </c>
      <c r="AB68" s="36">
        <f t="shared" si="19"/>
        <v>383</v>
      </c>
      <c r="AC68">
        <v>77</v>
      </c>
      <c r="AD68">
        <v>273</v>
      </c>
      <c r="AE68" s="36">
        <f t="shared" si="20"/>
        <v>350</v>
      </c>
      <c r="AF68">
        <v>354</v>
      </c>
      <c r="AG68">
        <v>686</v>
      </c>
      <c r="AH68" s="36">
        <f t="shared" si="21"/>
        <v>1040</v>
      </c>
    </row>
    <row r="70" spans="1:34" s="70" customFormat="1" x14ac:dyDescent="0.3">
      <c r="A70" s="84" t="s">
        <v>231</v>
      </c>
      <c r="B70" s="60"/>
      <c r="C70" s="60"/>
      <c r="D70" s="84"/>
      <c r="E70" s="60"/>
      <c r="F70" s="60"/>
      <c r="G70" s="84"/>
      <c r="H70" s="60"/>
      <c r="I70" s="60"/>
      <c r="J70" s="84"/>
      <c r="K70" s="60"/>
      <c r="L70" s="60"/>
      <c r="M70" s="84"/>
      <c r="N70" s="60"/>
      <c r="O70" s="60"/>
      <c r="P70" s="84"/>
      <c r="Q70" s="60"/>
      <c r="R70" s="60"/>
      <c r="S70" s="84"/>
      <c r="T70" s="60"/>
      <c r="U70" s="60"/>
      <c r="V70" s="84"/>
      <c r="W70" s="60"/>
      <c r="X70" s="60"/>
      <c r="Y70" s="84"/>
      <c r="Z70" s="60"/>
      <c r="AA70" s="60"/>
      <c r="AB70" s="84"/>
      <c r="AC70" s="60"/>
      <c r="AD70" s="60"/>
      <c r="AE70" s="84"/>
      <c r="AF70" s="60"/>
      <c r="AG70" s="60"/>
      <c r="AH70" s="84"/>
    </row>
    <row r="71" spans="1:34" s="70" customFormat="1" x14ac:dyDescent="0.3">
      <c r="A71" s="165"/>
      <c r="B71" s="175">
        <v>90802</v>
      </c>
      <c r="C71" s="175"/>
      <c r="D71" s="86"/>
      <c r="E71" s="175">
        <v>90803</v>
      </c>
      <c r="F71" s="175"/>
      <c r="G71" s="86"/>
      <c r="H71" s="175">
        <v>90804</v>
      </c>
      <c r="I71" s="175"/>
      <c r="J71" s="86"/>
      <c r="K71" s="175">
        <v>90805</v>
      </c>
      <c r="L71" s="175"/>
      <c r="M71" s="86"/>
      <c r="N71" s="175">
        <v>90806</v>
      </c>
      <c r="O71" s="175"/>
      <c r="P71" s="86"/>
      <c r="Q71" s="175">
        <v>90807</v>
      </c>
      <c r="R71" s="175"/>
      <c r="S71" s="86"/>
      <c r="T71" s="175">
        <v>90808</v>
      </c>
      <c r="U71" s="175"/>
      <c r="V71" s="86"/>
      <c r="W71" s="175">
        <v>90810</v>
      </c>
      <c r="X71" s="175"/>
      <c r="Y71" s="86"/>
      <c r="Z71" s="175">
        <v>90813</v>
      </c>
      <c r="AA71" s="175"/>
      <c r="AB71" s="86"/>
      <c r="AC71" s="175">
        <v>90814</v>
      </c>
      <c r="AD71" s="175"/>
      <c r="AE71" s="86"/>
      <c r="AF71" s="175">
        <v>90815</v>
      </c>
      <c r="AG71" s="175"/>
      <c r="AH71" s="86"/>
    </row>
    <row r="72" spans="1:34" s="70" customFormat="1" x14ac:dyDescent="0.3">
      <c r="A72" s="60"/>
      <c r="B72" s="60" t="s">
        <v>81</v>
      </c>
      <c r="C72" s="60" t="s">
        <v>82</v>
      </c>
      <c r="D72" s="82" t="s">
        <v>83</v>
      </c>
      <c r="E72" s="60" t="s">
        <v>81</v>
      </c>
      <c r="F72" s="60" t="s">
        <v>82</v>
      </c>
      <c r="G72" s="82" t="s">
        <v>83</v>
      </c>
      <c r="H72" s="60" t="s">
        <v>81</v>
      </c>
      <c r="I72" s="60" t="s">
        <v>82</v>
      </c>
      <c r="J72" s="82" t="s">
        <v>83</v>
      </c>
      <c r="K72" s="60" t="s">
        <v>81</v>
      </c>
      <c r="L72" s="60" t="s">
        <v>82</v>
      </c>
      <c r="M72" s="82" t="s">
        <v>83</v>
      </c>
      <c r="N72" s="60" t="s">
        <v>81</v>
      </c>
      <c r="O72" s="60" t="s">
        <v>82</v>
      </c>
      <c r="P72" s="82" t="s">
        <v>83</v>
      </c>
      <c r="Q72" s="60" t="s">
        <v>81</v>
      </c>
      <c r="R72" s="60" t="s">
        <v>82</v>
      </c>
      <c r="S72" s="82" t="s">
        <v>83</v>
      </c>
      <c r="T72" s="60" t="s">
        <v>81</v>
      </c>
      <c r="U72" s="60" t="s">
        <v>82</v>
      </c>
      <c r="V72" s="82" t="s">
        <v>83</v>
      </c>
      <c r="W72" s="60" t="s">
        <v>81</v>
      </c>
      <c r="X72" s="60" t="s">
        <v>82</v>
      </c>
      <c r="Y72" s="82" t="s">
        <v>83</v>
      </c>
      <c r="Z72" s="60" t="s">
        <v>81</v>
      </c>
      <c r="AA72" s="60" t="s">
        <v>82</v>
      </c>
      <c r="AB72" s="82" t="s">
        <v>83</v>
      </c>
      <c r="AC72" s="60" t="s">
        <v>81</v>
      </c>
      <c r="AD72" s="60" t="s">
        <v>82</v>
      </c>
      <c r="AE72" s="82" t="s">
        <v>83</v>
      </c>
      <c r="AF72" s="60" t="s">
        <v>81</v>
      </c>
      <c r="AG72" s="60" t="s">
        <v>304</v>
      </c>
      <c r="AH72" s="82" t="s">
        <v>83</v>
      </c>
    </row>
    <row r="73" spans="1:34" s="70" customFormat="1" x14ac:dyDescent="0.3">
      <c r="A73" s="60" t="s">
        <v>83</v>
      </c>
      <c r="B73" s="60">
        <v>20958</v>
      </c>
      <c r="C73" s="60">
        <v>18495</v>
      </c>
      <c r="D73" s="80">
        <f>SUM(B73:C73)</f>
        <v>39453</v>
      </c>
      <c r="E73" s="60">
        <v>16004</v>
      </c>
      <c r="F73" s="60">
        <v>16385</v>
      </c>
      <c r="G73" s="80">
        <f>SUM(E73:F73)</f>
        <v>32389</v>
      </c>
      <c r="H73" s="60">
        <v>19256</v>
      </c>
      <c r="I73" s="60">
        <v>20088</v>
      </c>
      <c r="J73" s="80">
        <f>SUM(H73:I73)</f>
        <v>39344</v>
      </c>
      <c r="K73" s="60">
        <v>46972</v>
      </c>
      <c r="L73" s="70">
        <v>49736</v>
      </c>
      <c r="M73" s="80">
        <f>SUM(K73:L73)</f>
        <v>96708</v>
      </c>
      <c r="N73" s="60">
        <v>20865</v>
      </c>
      <c r="O73" s="70">
        <v>21952</v>
      </c>
      <c r="P73" s="80">
        <f>SUM(N73:O73)</f>
        <v>42817</v>
      </c>
      <c r="Q73" s="60">
        <v>15847</v>
      </c>
      <c r="R73" s="70">
        <v>16220</v>
      </c>
      <c r="S73" s="80">
        <f>SUM(Q73:R73)</f>
        <v>32067</v>
      </c>
      <c r="T73" s="60">
        <v>18819</v>
      </c>
      <c r="U73" s="70">
        <v>20041</v>
      </c>
      <c r="V73" s="80">
        <f>SUM(T73:U73)</f>
        <v>38860</v>
      </c>
      <c r="W73" s="60">
        <v>18863</v>
      </c>
      <c r="X73" s="60">
        <v>19716</v>
      </c>
      <c r="Y73" s="80">
        <f>SUM(W73:X73)</f>
        <v>38579</v>
      </c>
      <c r="Z73" s="60">
        <v>29348</v>
      </c>
      <c r="AA73" s="60">
        <v>29652</v>
      </c>
      <c r="AB73" s="80">
        <f>SUM(Z73:AA73)</f>
        <v>59000</v>
      </c>
      <c r="AC73" s="60">
        <v>8640</v>
      </c>
      <c r="AD73" s="60">
        <v>9947</v>
      </c>
      <c r="AE73" s="80">
        <f>SUM(AC73:AD73)</f>
        <v>18587</v>
      </c>
      <c r="AF73" s="60">
        <v>20082</v>
      </c>
      <c r="AG73" s="60">
        <v>20944</v>
      </c>
      <c r="AH73" s="80">
        <f>SUM(AF73:AG73)</f>
        <v>41026</v>
      </c>
    </row>
    <row r="74" spans="1:34" x14ac:dyDescent="0.3">
      <c r="A74" s="44" t="s">
        <v>185</v>
      </c>
      <c r="B74" s="44">
        <v>898</v>
      </c>
      <c r="C74">
        <v>1165</v>
      </c>
      <c r="D74" s="36">
        <f t="shared" ref="D74:D96" si="22">SUM(B74:C74)</f>
        <v>2063</v>
      </c>
      <c r="E74" s="44">
        <v>464</v>
      </c>
      <c r="F74">
        <v>668</v>
      </c>
      <c r="G74" s="36">
        <f t="shared" ref="G74:G96" si="23">SUM(E74:F74)</f>
        <v>1132</v>
      </c>
      <c r="H74" s="44">
        <v>1150</v>
      </c>
      <c r="I74">
        <v>1207</v>
      </c>
      <c r="J74" s="36">
        <f t="shared" ref="J74:J96" si="24">SUM(H74:I74)</f>
        <v>2357</v>
      </c>
      <c r="K74" s="44">
        <v>3844</v>
      </c>
      <c r="L74">
        <v>4375</v>
      </c>
      <c r="M74" s="36">
        <f t="shared" ref="M74:M96" si="25">SUM(K74:L74)</f>
        <v>8219</v>
      </c>
      <c r="N74" s="44">
        <v>1711</v>
      </c>
      <c r="O74">
        <v>1610</v>
      </c>
      <c r="P74" s="36">
        <f t="shared" ref="P74:P96" si="26">SUM(N74:O74)</f>
        <v>3321</v>
      </c>
      <c r="Q74" s="44">
        <v>961</v>
      </c>
      <c r="R74">
        <v>1080</v>
      </c>
      <c r="S74" s="36">
        <f t="shared" ref="S74:S96" si="27">SUM(Q74:R74)</f>
        <v>2041</v>
      </c>
      <c r="T74" s="44">
        <v>1083</v>
      </c>
      <c r="U74">
        <v>1063</v>
      </c>
      <c r="V74" s="36">
        <f t="shared" ref="V74:V96" si="28">SUM(T74:U74)</f>
        <v>2146</v>
      </c>
      <c r="W74" s="44">
        <v>1442</v>
      </c>
      <c r="X74">
        <v>1039</v>
      </c>
      <c r="Y74" s="36">
        <f t="shared" ref="Y74:Y96" si="29">SUM(W74:X74)</f>
        <v>2481</v>
      </c>
      <c r="Z74" s="44">
        <v>2648</v>
      </c>
      <c r="AA74">
        <v>2798</v>
      </c>
      <c r="AB74" s="36">
        <f t="shared" ref="AB74:AB96" si="30">SUM(Z74:AA74)</f>
        <v>5446</v>
      </c>
      <c r="AC74" s="44">
        <v>481</v>
      </c>
      <c r="AD74">
        <v>500</v>
      </c>
      <c r="AE74" s="36">
        <f t="shared" ref="AE74:AE96" si="31">SUM(AC74:AD74)</f>
        <v>981</v>
      </c>
      <c r="AF74" s="44">
        <v>1083</v>
      </c>
      <c r="AG74">
        <v>1034</v>
      </c>
      <c r="AH74" s="36">
        <f t="shared" ref="AH74:AH96" si="32">SUM(AF74:AG74)</f>
        <v>2117</v>
      </c>
    </row>
    <row r="75" spans="1:34" x14ac:dyDescent="0.3">
      <c r="A75" s="44" t="s">
        <v>186</v>
      </c>
      <c r="B75" s="44">
        <v>771</v>
      </c>
      <c r="C75">
        <v>537</v>
      </c>
      <c r="D75" s="36">
        <f t="shared" si="22"/>
        <v>1308</v>
      </c>
      <c r="E75" s="44">
        <v>342</v>
      </c>
      <c r="F75">
        <v>565</v>
      </c>
      <c r="G75" s="36">
        <f t="shared" si="23"/>
        <v>907</v>
      </c>
      <c r="H75" s="44">
        <v>1240</v>
      </c>
      <c r="I75">
        <v>1027</v>
      </c>
      <c r="J75" s="36">
        <f t="shared" si="24"/>
        <v>2267</v>
      </c>
      <c r="K75" s="44">
        <v>4021</v>
      </c>
      <c r="L75">
        <v>3686</v>
      </c>
      <c r="M75" s="36">
        <f t="shared" si="25"/>
        <v>7707</v>
      </c>
      <c r="N75" s="44">
        <v>1777</v>
      </c>
      <c r="O75">
        <v>1327</v>
      </c>
      <c r="P75" s="36">
        <f t="shared" si="26"/>
        <v>3104</v>
      </c>
      <c r="Q75" s="44">
        <v>1029</v>
      </c>
      <c r="R75">
        <v>511</v>
      </c>
      <c r="S75" s="36">
        <f t="shared" si="27"/>
        <v>1540</v>
      </c>
      <c r="T75" s="44">
        <v>1041</v>
      </c>
      <c r="U75">
        <v>1290</v>
      </c>
      <c r="V75" s="36">
        <f t="shared" si="28"/>
        <v>2331</v>
      </c>
      <c r="W75" s="44">
        <v>1497</v>
      </c>
      <c r="X75">
        <v>1293</v>
      </c>
      <c r="Y75" s="36">
        <f t="shared" si="29"/>
        <v>2790</v>
      </c>
      <c r="Z75" s="44">
        <v>2418</v>
      </c>
      <c r="AA75">
        <v>2518</v>
      </c>
      <c r="AB75" s="36">
        <f t="shared" si="30"/>
        <v>4936</v>
      </c>
      <c r="AC75" s="44">
        <v>422</v>
      </c>
      <c r="AD75">
        <v>321</v>
      </c>
      <c r="AE75" s="36">
        <f t="shared" si="31"/>
        <v>743</v>
      </c>
      <c r="AF75" s="44">
        <v>1032</v>
      </c>
      <c r="AG75">
        <v>758</v>
      </c>
      <c r="AH75" s="36">
        <f t="shared" si="32"/>
        <v>1790</v>
      </c>
    </row>
    <row r="76" spans="1:34" x14ac:dyDescent="0.3">
      <c r="A76" s="44" t="s">
        <v>187</v>
      </c>
      <c r="B76" s="44">
        <v>904</v>
      </c>
      <c r="C76">
        <v>620</v>
      </c>
      <c r="D76" s="36">
        <f t="shared" si="22"/>
        <v>1524</v>
      </c>
      <c r="E76" s="44">
        <v>498</v>
      </c>
      <c r="F76">
        <v>485</v>
      </c>
      <c r="G76" s="36">
        <f t="shared" si="23"/>
        <v>983</v>
      </c>
      <c r="H76" s="44">
        <v>1315</v>
      </c>
      <c r="I76">
        <v>857</v>
      </c>
      <c r="J76" s="36">
        <f t="shared" si="24"/>
        <v>2172</v>
      </c>
      <c r="K76" s="44">
        <v>4069</v>
      </c>
      <c r="L76">
        <v>3530</v>
      </c>
      <c r="M76" s="36">
        <f t="shared" si="25"/>
        <v>7599</v>
      </c>
      <c r="N76" s="44">
        <v>1619</v>
      </c>
      <c r="O76">
        <v>1357</v>
      </c>
      <c r="P76" s="36">
        <f t="shared" si="26"/>
        <v>2976</v>
      </c>
      <c r="Q76" s="44">
        <v>952</v>
      </c>
      <c r="R76">
        <v>770</v>
      </c>
      <c r="S76" s="36">
        <f t="shared" si="27"/>
        <v>1722</v>
      </c>
      <c r="T76" s="44">
        <v>1143</v>
      </c>
      <c r="U76">
        <v>1181</v>
      </c>
      <c r="V76" s="36">
        <f t="shared" si="28"/>
        <v>2324</v>
      </c>
      <c r="W76" s="44">
        <v>1390</v>
      </c>
      <c r="X76">
        <v>1306</v>
      </c>
      <c r="Y76" s="36">
        <f t="shared" si="29"/>
        <v>2696</v>
      </c>
      <c r="Z76" s="44">
        <v>2309</v>
      </c>
      <c r="AA76">
        <v>2390</v>
      </c>
      <c r="AB76" s="36">
        <f t="shared" si="30"/>
        <v>4699</v>
      </c>
      <c r="AC76" s="44">
        <v>410</v>
      </c>
      <c r="AD76">
        <v>281</v>
      </c>
      <c r="AE76" s="36">
        <f t="shared" si="31"/>
        <v>691</v>
      </c>
      <c r="AF76" s="44">
        <v>1081</v>
      </c>
      <c r="AG76">
        <v>1226</v>
      </c>
      <c r="AH76" s="36">
        <f t="shared" si="32"/>
        <v>2307</v>
      </c>
    </row>
    <row r="77" spans="1:34" x14ac:dyDescent="0.3">
      <c r="A77" s="44" t="s">
        <v>188</v>
      </c>
      <c r="B77" s="44">
        <v>322</v>
      </c>
      <c r="C77">
        <v>531</v>
      </c>
      <c r="D77" s="36">
        <f t="shared" si="22"/>
        <v>853</v>
      </c>
      <c r="E77" s="44">
        <v>352</v>
      </c>
      <c r="F77">
        <v>334</v>
      </c>
      <c r="G77" s="36">
        <f t="shared" si="23"/>
        <v>686</v>
      </c>
      <c r="H77" s="44">
        <v>702</v>
      </c>
      <c r="I77">
        <v>693</v>
      </c>
      <c r="J77" s="36">
        <f t="shared" si="24"/>
        <v>1395</v>
      </c>
      <c r="K77" s="44">
        <v>2077</v>
      </c>
      <c r="L77">
        <v>2549</v>
      </c>
      <c r="M77" s="36">
        <f t="shared" si="25"/>
        <v>4626</v>
      </c>
      <c r="N77" s="44">
        <v>853</v>
      </c>
      <c r="O77">
        <v>963</v>
      </c>
      <c r="P77" s="36">
        <f t="shared" si="26"/>
        <v>1816</v>
      </c>
      <c r="Q77" s="44">
        <v>510</v>
      </c>
      <c r="R77">
        <v>515</v>
      </c>
      <c r="S77" s="36">
        <f t="shared" si="27"/>
        <v>1025</v>
      </c>
      <c r="T77" s="44">
        <v>727</v>
      </c>
      <c r="U77">
        <v>463</v>
      </c>
      <c r="V77" s="36">
        <f t="shared" si="28"/>
        <v>1190</v>
      </c>
      <c r="W77" s="44">
        <v>923</v>
      </c>
      <c r="X77">
        <v>1093</v>
      </c>
      <c r="Y77" s="36">
        <f t="shared" si="29"/>
        <v>2016</v>
      </c>
      <c r="Z77" s="44">
        <v>1498</v>
      </c>
      <c r="AA77">
        <v>1252</v>
      </c>
      <c r="AB77" s="36">
        <f t="shared" si="30"/>
        <v>2750</v>
      </c>
      <c r="AC77" s="44">
        <v>160</v>
      </c>
      <c r="AD77">
        <v>311</v>
      </c>
      <c r="AE77" s="36">
        <f t="shared" si="31"/>
        <v>471</v>
      </c>
      <c r="AF77" s="44">
        <v>699</v>
      </c>
      <c r="AG77">
        <v>717</v>
      </c>
      <c r="AH77" s="36">
        <f t="shared" si="32"/>
        <v>1416</v>
      </c>
    </row>
    <row r="78" spans="1:34" x14ac:dyDescent="0.3">
      <c r="A78" s="44" t="s">
        <v>189</v>
      </c>
      <c r="B78" s="44">
        <v>374</v>
      </c>
      <c r="C78">
        <v>294</v>
      </c>
      <c r="D78" s="36">
        <f t="shared" si="22"/>
        <v>668</v>
      </c>
      <c r="E78" s="44">
        <v>204</v>
      </c>
      <c r="F78">
        <v>172</v>
      </c>
      <c r="G78" s="36">
        <f t="shared" si="23"/>
        <v>376</v>
      </c>
      <c r="H78" s="44">
        <v>645</v>
      </c>
      <c r="I78">
        <v>593</v>
      </c>
      <c r="J78" s="36">
        <f t="shared" si="24"/>
        <v>1238</v>
      </c>
      <c r="K78" s="44">
        <v>1056</v>
      </c>
      <c r="L78">
        <v>1395</v>
      </c>
      <c r="M78" s="36">
        <f t="shared" si="25"/>
        <v>2451</v>
      </c>
      <c r="N78" s="44">
        <v>563</v>
      </c>
      <c r="O78">
        <v>678</v>
      </c>
      <c r="P78" s="36">
        <f t="shared" si="26"/>
        <v>1241</v>
      </c>
      <c r="Q78" s="44">
        <v>287</v>
      </c>
      <c r="R78">
        <v>319</v>
      </c>
      <c r="S78" s="36">
        <f t="shared" si="27"/>
        <v>606</v>
      </c>
      <c r="T78" s="44">
        <v>321</v>
      </c>
      <c r="U78">
        <v>442</v>
      </c>
      <c r="V78" s="36">
        <f t="shared" si="28"/>
        <v>763</v>
      </c>
      <c r="W78" s="44">
        <v>712</v>
      </c>
      <c r="X78">
        <v>655</v>
      </c>
      <c r="Y78" s="36">
        <f t="shared" si="29"/>
        <v>1367</v>
      </c>
      <c r="Z78" s="44">
        <v>1097</v>
      </c>
      <c r="AA78">
        <v>719</v>
      </c>
      <c r="AB78" s="36">
        <f t="shared" si="30"/>
        <v>1816</v>
      </c>
      <c r="AC78" s="44">
        <v>78</v>
      </c>
      <c r="AD78">
        <v>157</v>
      </c>
      <c r="AE78" s="36">
        <f t="shared" si="31"/>
        <v>235</v>
      </c>
      <c r="AF78" s="44">
        <v>1022</v>
      </c>
      <c r="AG78">
        <v>1246</v>
      </c>
      <c r="AH78" s="36">
        <f t="shared" si="32"/>
        <v>2268</v>
      </c>
    </row>
    <row r="79" spans="1:34" x14ac:dyDescent="0.3">
      <c r="A79" s="44" t="s">
        <v>190</v>
      </c>
      <c r="B79" s="44">
        <v>334</v>
      </c>
      <c r="C79">
        <v>246</v>
      </c>
      <c r="D79" s="36">
        <f t="shared" si="22"/>
        <v>580</v>
      </c>
      <c r="E79" s="44">
        <v>129</v>
      </c>
      <c r="F79">
        <v>146</v>
      </c>
      <c r="G79" s="36">
        <f t="shared" si="23"/>
        <v>275</v>
      </c>
      <c r="H79" s="44">
        <v>383</v>
      </c>
      <c r="I79">
        <v>475</v>
      </c>
      <c r="J79" s="36">
        <f t="shared" si="24"/>
        <v>858</v>
      </c>
      <c r="K79" s="44">
        <v>840</v>
      </c>
      <c r="L79">
        <v>751</v>
      </c>
      <c r="M79" s="36">
        <f t="shared" si="25"/>
        <v>1591</v>
      </c>
      <c r="N79" s="44">
        <v>405</v>
      </c>
      <c r="O79">
        <v>439</v>
      </c>
      <c r="P79" s="36">
        <f t="shared" si="26"/>
        <v>844</v>
      </c>
      <c r="Q79" s="44">
        <v>237</v>
      </c>
      <c r="R79">
        <v>114</v>
      </c>
      <c r="S79" s="36">
        <f t="shared" si="27"/>
        <v>351</v>
      </c>
      <c r="T79" s="44">
        <v>176</v>
      </c>
      <c r="U79">
        <v>149</v>
      </c>
      <c r="V79" s="36">
        <f t="shared" si="28"/>
        <v>325</v>
      </c>
      <c r="W79" s="44">
        <v>267</v>
      </c>
      <c r="X79">
        <v>316</v>
      </c>
      <c r="Y79" s="36">
        <f t="shared" si="29"/>
        <v>583</v>
      </c>
      <c r="Z79" s="44">
        <v>522</v>
      </c>
      <c r="AA79">
        <v>658</v>
      </c>
      <c r="AB79" s="36">
        <f t="shared" si="30"/>
        <v>1180</v>
      </c>
      <c r="AC79" s="44">
        <v>120</v>
      </c>
      <c r="AD79">
        <v>81</v>
      </c>
      <c r="AE79" s="36">
        <f t="shared" si="31"/>
        <v>201</v>
      </c>
      <c r="AF79" s="44">
        <v>514</v>
      </c>
      <c r="AG79">
        <v>671</v>
      </c>
      <c r="AH79" s="36">
        <f t="shared" si="32"/>
        <v>1185</v>
      </c>
    </row>
    <row r="80" spans="1:34" x14ac:dyDescent="0.3">
      <c r="A80" s="44" t="s">
        <v>191</v>
      </c>
      <c r="B80" s="44">
        <v>211</v>
      </c>
      <c r="C80">
        <v>224</v>
      </c>
      <c r="D80" s="36">
        <f t="shared" si="22"/>
        <v>435</v>
      </c>
      <c r="E80" s="44">
        <v>183</v>
      </c>
      <c r="F80">
        <v>174</v>
      </c>
      <c r="G80" s="36">
        <f t="shared" si="23"/>
        <v>357</v>
      </c>
      <c r="H80" s="44">
        <v>796</v>
      </c>
      <c r="I80">
        <v>386</v>
      </c>
      <c r="J80" s="36">
        <f t="shared" si="24"/>
        <v>1182</v>
      </c>
      <c r="K80" s="44">
        <v>1035</v>
      </c>
      <c r="L80">
        <v>796</v>
      </c>
      <c r="M80" s="36">
        <f t="shared" si="25"/>
        <v>1831</v>
      </c>
      <c r="N80" s="44">
        <v>417</v>
      </c>
      <c r="O80">
        <v>223</v>
      </c>
      <c r="P80" s="36">
        <f t="shared" si="26"/>
        <v>640</v>
      </c>
      <c r="Q80" s="44">
        <v>76</v>
      </c>
      <c r="R80">
        <v>90</v>
      </c>
      <c r="S80" s="36">
        <f t="shared" si="27"/>
        <v>166</v>
      </c>
      <c r="T80" s="44">
        <v>104</v>
      </c>
      <c r="U80">
        <v>77</v>
      </c>
      <c r="V80" s="36">
        <f t="shared" si="28"/>
        <v>181</v>
      </c>
      <c r="W80" s="44">
        <v>335</v>
      </c>
      <c r="X80">
        <v>426</v>
      </c>
      <c r="Y80" s="36">
        <f t="shared" si="29"/>
        <v>761</v>
      </c>
      <c r="Z80" s="44">
        <v>538</v>
      </c>
      <c r="AA80">
        <v>542</v>
      </c>
      <c r="AB80" s="36">
        <f t="shared" si="30"/>
        <v>1080</v>
      </c>
      <c r="AC80" s="44">
        <v>111</v>
      </c>
      <c r="AD80">
        <v>48</v>
      </c>
      <c r="AE80" s="36">
        <f t="shared" si="31"/>
        <v>159</v>
      </c>
      <c r="AF80" s="44">
        <v>425</v>
      </c>
      <c r="AG80">
        <v>423</v>
      </c>
      <c r="AH80" s="36">
        <f t="shared" si="32"/>
        <v>848</v>
      </c>
    </row>
    <row r="81" spans="1:34" x14ac:dyDescent="0.3">
      <c r="A81" s="44" t="s">
        <v>192</v>
      </c>
      <c r="B81" s="44">
        <v>813</v>
      </c>
      <c r="C81">
        <v>702</v>
      </c>
      <c r="D81" s="36">
        <f t="shared" si="22"/>
        <v>1515</v>
      </c>
      <c r="E81" s="44">
        <v>552</v>
      </c>
      <c r="F81">
        <v>664</v>
      </c>
      <c r="G81" s="36">
        <f t="shared" si="23"/>
        <v>1216</v>
      </c>
      <c r="H81" s="44">
        <v>941</v>
      </c>
      <c r="I81">
        <v>1282</v>
      </c>
      <c r="J81" s="36">
        <f t="shared" si="24"/>
        <v>2223</v>
      </c>
      <c r="K81" s="44">
        <v>2165</v>
      </c>
      <c r="L81">
        <v>2253</v>
      </c>
      <c r="M81" s="36">
        <f t="shared" si="25"/>
        <v>4418</v>
      </c>
      <c r="N81" s="44">
        <v>1195</v>
      </c>
      <c r="O81">
        <v>942</v>
      </c>
      <c r="P81" s="36">
        <f t="shared" si="26"/>
        <v>2137</v>
      </c>
      <c r="Q81" s="44">
        <v>626</v>
      </c>
      <c r="R81">
        <v>569</v>
      </c>
      <c r="S81" s="36">
        <f t="shared" si="27"/>
        <v>1195</v>
      </c>
      <c r="T81" s="44">
        <v>681</v>
      </c>
      <c r="U81">
        <v>701</v>
      </c>
      <c r="V81" s="36">
        <f t="shared" si="28"/>
        <v>1382</v>
      </c>
      <c r="W81" s="44">
        <v>996</v>
      </c>
      <c r="X81">
        <v>1053</v>
      </c>
      <c r="Y81" s="36">
        <f t="shared" si="29"/>
        <v>2049</v>
      </c>
      <c r="Z81" s="44">
        <v>1501</v>
      </c>
      <c r="AA81">
        <v>1623</v>
      </c>
      <c r="AB81" s="36">
        <f t="shared" si="30"/>
        <v>3124</v>
      </c>
      <c r="AC81" s="44">
        <v>348</v>
      </c>
      <c r="AD81">
        <v>442</v>
      </c>
      <c r="AE81" s="36">
        <f t="shared" si="31"/>
        <v>790</v>
      </c>
      <c r="AF81" s="44">
        <v>1179</v>
      </c>
      <c r="AG81">
        <v>1141</v>
      </c>
      <c r="AH81" s="36">
        <f t="shared" si="32"/>
        <v>2320</v>
      </c>
    </row>
    <row r="82" spans="1:34" x14ac:dyDescent="0.3">
      <c r="A82" s="44" t="s">
        <v>193</v>
      </c>
      <c r="B82" s="44">
        <v>3033</v>
      </c>
      <c r="C82">
        <v>2573</v>
      </c>
      <c r="D82" s="36">
        <f t="shared" si="22"/>
        <v>5606</v>
      </c>
      <c r="E82" s="44">
        <v>1464</v>
      </c>
      <c r="F82">
        <v>1431</v>
      </c>
      <c r="G82" s="36">
        <f t="shared" si="23"/>
        <v>2895</v>
      </c>
      <c r="H82" s="44">
        <v>1925</v>
      </c>
      <c r="I82">
        <v>2790</v>
      </c>
      <c r="J82" s="36">
        <f t="shared" si="24"/>
        <v>4715</v>
      </c>
      <c r="K82" s="44">
        <v>4064</v>
      </c>
      <c r="L82">
        <v>4350</v>
      </c>
      <c r="M82" s="36">
        <f t="shared" si="25"/>
        <v>8414</v>
      </c>
      <c r="N82" s="44">
        <v>1534</v>
      </c>
      <c r="O82">
        <v>1964</v>
      </c>
      <c r="P82" s="36">
        <f t="shared" si="26"/>
        <v>3498</v>
      </c>
      <c r="Q82" s="44">
        <v>1075</v>
      </c>
      <c r="R82">
        <v>1095</v>
      </c>
      <c r="S82" s="36">
        <f t="shared" si="27"/>
        <v>2170</v>
      </c>
      <c r="T82" s="44">
        <v>1231</v>
      </c>
      <c r="U82">
        <v>1025</v>
      </c>
      <c r="V82" s="36">
        <f t="shared" si="28"/>
        <v>2256</v>
      </c>
      <c r="W82" s="44">
        <v>1541</v>
      </c>
      <c r="X82">
        <v>1546</v>
      </c>
      <c r="Y82" s="36">
        <f t="shared" si="29"/>
        <v>3087</v>
      </c>
      <c r="Z82" s="44">
        <v>2571</v>
      </c>
      <c r="AA82">
        <v>2752</v>
      </c>
      <c r="AB82" s="36">
        <f t="shared" si="30"/>
        <v>5323</v>
      </c>
      <c r="AC82" s="44">
        <v>977</v>
      </c>
      <c r="AD82">
        <v>1100</v>
      </c>
      <c r="AE82" s="36">
        <f t="shared" si="31"/>
        <v>2077</v>
      </c>
      <c r="AF82" s="44">
        <v>1617</v>
      </c>
      <c r="AG82">
        <v>1091</v>
      </c>
      <c r="AH82" s="36">
        <f t="shared" si="32"/>
        <v>2708</v>
      </c>
    </row>
    <row r="83" spans="1:34" x14ac:dyDescent="0.3">
      <c r="A83" s="44" t="s">
        <v>194</v>
      </c>
      <c r="B83" s="44">
        <v>2635</v>
      </c>
      <c r="C83">
        <v>1917</v>
      </c>
      <c r="D83" s="36">
        <f t="shared" si="22"/>
        <v>4552</v>
      </c>
      <c r="E83" s="44">
        <v>1534</v>
      </c>
      <c r="F83">
        <v>1534</v>
      </c>
      <c r="G83" s="36">
        <f t="shared" si="23"/>
        <v>3068</v>
      </c>
      <c r="H83" s="44">
        <v>1829</v>
      </c>
      <c r="I83">
        <v>1690</v>
      </c>
      <c r="J83" s="36">
        <f t="shared" si="24"/>
        <v>3519</v>
      </c>
      <c r="K83" s="44">
        <v>3864</v>
      </c>
      <c r="L83">
        <v>4297</v>
      </c>
      <c r="M83" s="36">
        <f t="shared" si="25"/>
        <v>8161</v>
      </c>
      <c r="N83" s="44">
        <v>1585</v>
      </c>
      <c r="O83">
        <v>1446</v>
      </c>
      <c r="P83" s="36">
        <f t="shared" si="26"/>
        <v>3031</v>
      </c>
      <c r="Q83" s="44">
        <v>1052</v>
      </c>
      <c r="R83">
        <v>1570</v>
      </c>
      <c r="S83" s="36">
        <f t="shared" si="27"/>
        <v>2622</v>
      </c>
      <c r="T83" s="44">
        <v>1015</v>
      </c>
      <c r="U83">
        <v>919</v>
      </c>
      <c r="V83" s="36">
        <f t="shared" si="28"/>
        <v>1934</v>
      </c>
      <c r="W83" s="44">
        <v>1064</v>
      </c>
      <c r="X83">
        <v>1305</v>
      </c>
      <c r="Y83" s="36">
        <f t="shared" si="29"/>
        <v>2369</v>
      </c>
      <c r="Z83" s="44">
        <v>3006</v>
      </c>
      <c r="AA83">
        <v>2512</v>
      </c>
      <c r="AB83" s="36">
        <f t="shared" si="30"/>
        <v>5518</v>
      </c>
      <c r="AC83" s="44">
        <v>983</v>
      </c>
      <c r="AD83">
        <v>1214</v>
      </c>
      <c r="AE83" s="36">
        <f t="shared" si="31"/>
        <v>2197</v>
      </c>
      <c r="AF83" s="44">
        <v>1034</v>
      </c>
      <c r="AG83">
        <v>1204</v>
      </c>
      <c r="AH83" s="36">
        <f t="shared" si="32"/>
        <v>2238</v>
      </c>
    </row>
    <row r="84" spans="1:34" x14ac:dyDescent="0.3">
      <c r="A84" s="44" t="s">
        <v>195</v>
      </c>
      <c r="B84" s="44">
        <v>1475</v>
      </c>
      <c r="C84">
        <v>1655</v>
      </c>
      <c r="D84" s="36">
        <f t="shared" si="22"/>
        <v>3130</v>
      </c>
      <c r="E84" s="44">
        <v>1172</v>
      </c>
      <c r="F84">
        <v>1071</v>
      </c>
      <c r="G84" s="36">
        <f t="shared" si="23"/>
        <v>2243</v>
      </c>
      <c r="H84" s="44">
        <v>1579</v>
      </c>
      <c r="I84">
        <v>1567</v>
      </c>
      <c r="J84" s="36">
        <f t="shared" si="24"/>
        <v>3146</v>
      </c>
      <c r="K84" s="44">
        <v>3389</v>
      </c>
      <c r="L84">
        <v>3112</v>
      </c>
      <c r="M84" s="36">
        <f t="shared" si="25"/>
        <v>6501</v>
      </c>
      <c r="N84" s="44">
        <v>1659</v>
      </c>
      <c r="O84">
        <v>1612</v>
      </c>
      <c r="P84" s="36">
        <f t="shared" si="26"/>
        <v>3271</v>
      </c>
      <c r="Q84" s="44">
        <v>1289</v>
      </c>
      <c r="R84">
        <v>918</v>
      </c>
      <c r="S84" s="36">
        <f t="shared" si="27"/>
        <v>2207</v>
      </c>
      <c r="T84" s="44">
        <v>1169</v>
      </c>
      <c r="U84">
        <v>1424</v>
      </c>
      <c r="V84" s="36">
        <f t="shared" si="28"/>
        <v>2593</v>
      </c>
      <c r="W84" s="44">
        <v>1156</v>
      </c>
      <c r="X84">
        <v>1355</v>
      </c>
      <c r="Y84" s="36">
        <f t="shared" si="29"/>
        <v>2511</v>
      </c>
      <c r="Z84" s="44">
        <v>1912</v>
      </c>
      <c r="AA84">
        <v>2077</v>
      </c>
      <c r="AB84" s="36">
        <f t="shared" si="30"/>
        <v>3989</v>
      </c>
      <c r="AC84" s="44">
        <v>526</v>
      </c>
      <c r="AD84">
        <v>678</v>
      </c>
      <c r="AE84" s="36">
        <f t="shared" si="31"/>
        <v>1204</v>
      </c>
      <c r="AF84" s="44">
        <v>1045</v>
      </c>
      <c r="AG84">
        <v>1365</v>
      </c>
      <c r="AH84" s="36">
        <f t="shared" si="32"/>
        <v>2410</v>
      </c>
    </row>
    <row r="85" spans="1:34" x14ac:dyDescent="0.3">
      <c r="A85" s="44" t="s">
        <v>196</v>
      </c>
      <c r="B85" s="44">
        <v>1591</v>
      </c>
      <c r="C85">
        <v>1489</v>
      </c>
      <c r="D85" s="36">
        <f t="shared" si="22"/>
        <v>3080</v>
      </c>
      <c r="E85" s="44">
        <v>1182</v>
      </c>
      <c r="F85">
        <v>1109</v>
      </c>
      <c r="G85" s="36">
        <f t="shared" si="23"/>
        <v>2291</v>
      </c>
      <c r="H85" s="44">
        <v>1227</v>
      </c>
      <c r="I85">
        <v>1358</v>
      </c>
      <c r="J85" s="36">
        <f t="shared" si="24"/>
        <v>2585</v>
      </c>
      <c r="K85" s="44">
        <v>3086</v>
      </c>
      <c r="L85">
        <v>2979</v>
      </c>
      <c r="M85" s="36">
        <f t="shared" si="25"/>
        <v>6065</v>
      </c>
      <c r="N85" s="44">
        <v>1207</v>
      </c>
      <c r="O85">
        <v>1504</v>
      </c>
      <c r="P85" s="36">
        <f t="shared" si="26"/>
        <v>2711</v>
      </c>
      <c r="Q85" s="44">
        <v>849</v>
      </c>
      <c r="R85">
        <v>1231</v>
      </c>
      <c r="S85" s="36">
        <f t="shared" si="27"/>
        <v>2080</v>
      </c>
      <c r="T85" s="44">
        <v>1570</v>
      </c>
      <c r="U85">
        <v>1749</v>
      </c>
      <c r="V85" s="36">
        <f t="shared" si="28"/>
        <v>3319</v>
      </c>
      <c r="W85" s="44">
        <v>1442</v>
      </c>
      <c r="X85">
        <v>1260</v>
      </c>
      <c r="Y85" s="36">
        <f t="shared" si="29"/>
        <v>2702</v>
      </c>
      <c r="Z85" s="44">
        <v>1680</v>
      </c>
      <c r="AA85">
        <v>1727</v>
      </c>
      <c r="AB85" s="36">
        <f t="shared" si="30"/>
        <v>3407</v>
      </c>
      <c r="AC85" s="44">
        <v>764</v>
      </c>
      <c r="AD85">
        <v>801</v>
      </c>
      <c r="AE85" s="36">
        <f t="shared" si="31"/>
        <v>1565</v>
      </c>
      <c r="AF85" s="44">
        <v>1276</v>
      </c>
      <c r="AG85">
        <v>1346</v>
      </c>
      <c r="AH85" s="36">
        <f t="shared" si="32"/>
        <v>2622</v>
      </c>
    </row>
    <row r="86" spans="1:34" x14ac:dyDescent="0.3">
      <c r="A86" s="44" t="s">
        <v>197</v>
      </c>
      <c r="B86" s="44">
        <v>1819</v>
      </c>
      <c r="C86">
        <v>1063</v>
      </c>
      <c r="D86" s="36">
        <f t="shared" si="22"/>
        <v>2882</v>
      </c>
      <c r="E86" s="44">
        <v>1417</v>
      </c>
      <c r="F86">
        <v>1206</v>
      </c>
      <c r="G86" s="36">
        <f t="shared" si="23"/>
        <v>2623</v>
      </c>
      <c r="H86" s="44">
        <v>1317</v>
      </c>
      <c r="I86">
        <v>1531</v>
      </c>
      <c r="J86" s="36">
        <f t="shared" si="24"/>
        <v>2848</v>
      </c>
      <c r="K86" s="44">
        <v>3026</v>
      </c>
      <c r="L86">
        <v>3419</v>
      </c>
      <c r="M86" s="36">
        <f t="shared" si="25"/>
        <v>6445</v>
      </c>
      <c r="N86" s="44">
        <v>1381</v>
      </c>
      <c r="O86">
        <v>1456</v>
      </c>
      <c r="P86" s="36">
        <f t="shared" si="26"/>
        <v>2837</v>
      </c>
      <c r="Q86" s="44">
        <v>1317</v>
      </c>
      <c r="R86">
        <v>1151</v>
      </c>
      <c r="S86" s="36">
        <f t="shared" si="27"/>
        <v>2468</v>
      </c>
      <c r="T86" s="44">
        <v>1440</v>
      </c>
      <c r="U86">
        <v>1598</v>
      </c>
      <c r="V86" s="36">
        <f t="shared" si="28"/>
        <v>3038</v>
      </c>
      <c r="W86" s="44">
        <v>1088</v>
      </c>
      <c r="X86">
        <v>1104</v>
      </c>
      <c r="Y86" s="36">
        <f t="shared" si="29"/>
        <v>2192</v>
      </c>
      <c r="Z86" s="44">
        <v>1671</v>
      </c>
      <c r="AA86">
        <v>1617</v>
      </c>
      <c r="AB86" s="36">
        <f t="shared" si="30"/>
        <v>3288</v>
      </c>
      <c r="AC86" s="44">
        <v>513</v>
      </c>
      <c r="AD86">
        <v>436</v>
      </c>
      <c r="AE86" s="36">
        <f t="shared" si="31"/>
        <v>949</v>
      </c>
      <c r="AF86" s="44">
        <v>1612</v>
      </c>
      <c r="AG86">
        <v>1536</v>
      </c>
      <c r="AH86" s="36">
        <f t="shared" si="32"/>
        <v>3148</v>
      </c>
    </row>
    <row r="87" spans="1:34" x14ac:dyDescent="0.3">
      <c r="A87" s="44" t="s">
        <v>198</v>
      </c>
      <c r="B87" s="44">
        <v>1520</v>
      </c>
      <c r="C87">
        <v>1309</v>
      </c>
      <c r="D87" s="36">
        <f t="shared" si="22"/>
        <v>2829</v>
      </c>
      <c r="E87" s="44">
        <v>1284</v>
      </c>
      <c r="F87">
        <v>1278</v>
      </c>
      <c r="G87" s="36">
        <f t="shared" si="23"/>
        <v>2562</v>
      </c>
      <c r="H87" s="44">
        <v>1328</v>
      </c>
      <c r="I87">
        <v>1242</v>
      </c>
      <c r="J87" s="36">
        <f t="shared" si="24"/>
        <v>2570</v>
      </c>
      <c r="K87" s="44">
        <v>2212</v>
      </c>
      <c r="L87">
        <v>3026</v>
      </c>
      <c r="M87" s="36">
        <f t="shared" si="25"/>
        <v>5238</v>
      </c>
      <c r="N87" s="44">
        <v>1445</v>
      </c>
      <c r="O87">
        <v>1898</v>
      </c>
      <c r="P87" s="36">
        <f t="shared" si="26"/>
        <v>3343</v>
      </c>
      <c r="Q87" s="44">
        <v>1135</v>
      </c>
      <c r="R87">
        <v>1131</v>
      </c>
      <c r="S87" s="36">
        <f t="shared" si="27"/>
        <v>2266</v>
      </c>
      <c r="T87" s="44">
        <v>1591</v>
      </c>
      <c r="U87">
        <v>1615</v>
      </c>
      <c r="V87" s="36">
        <f t="shared" si="28"/>
        <v>3206</v>
      </c>
      <c r="W87" s="44">
        <v>1342</v>
      </c>
      <c r="X87">
        <v>1333</v>
      </c>
      <c r="Y87" s="36">
        <f t="shared" si="29"/>
        <v>2675</v>
      </c>
      <c r="Z87" s="44">
        <v>1512</v>
      </c>
      <c r="AA87">
        <v>1347</v>
      </c>
      <c r="AB87" s="36">
        <f t="shared" si="30"/>
        <v>2859</v>
      </c>
      <c r="AC87" s="44">
        <v>716</v>
      </c>
      <c r="AD87">
        <v>978</v>
      </c>
      <c r="AE87" s="36">
        <f t="shared" si="31"/>
        <v>1694</v>
      </c>
      <c r="AF87" s="44">
        <v>1322</v>
      </c>
      <c r="AG87">
        <v>1305</v>
      </c>
      <c r="AH87" s="36">
        <f t="shared" si="32"/>
        <v>2627</v>
      </c>
    </row>
    <row r="88" spans="1:34" x14ac:dyDescent="0.3">
      <c r="A88" s="44" t="s">
        <v>199</v>
      </c>
      <c r="B88" s="44">
        <v>1359</v>
      </c>
      <c r="C88">
        <v>995</v>
      </c>
      <c r="D88" s="36">
        <f t="shared" si="22"/>
        <v>2354</v>
      </c>
      <c r="E88" s="44">
        <v>1190</v>
      </c>
      <c r="F88">
        <v>1392</v>
      </c>
      <c r="G88" s="36">
        <f t="shared" si="23"/>
        <v>2582</v>
      </c>
      <c r="H88" s="44">
        <v>1026</v>
      </c>
      <c r="I88">
        <v>1044</v>
      </c>
      <c r="J88" s="36">
        <f t="shared" si="24"/>
        <v>2070</v>
      </c>
      <c r="K88" s="44">
        <v>2249</v>
      </c>
      <c r="L88">
        <v>2544</v>
      </c>
      <c r="M88" s="36">
        <f t="shared" si="25"/>
        <v>4793</v>
      </c>
      <c r="N88" s="44">
        <v>881</v>
      </c>
      <c r="O88">
        <v>889</v>
      </c>
      <c r="P88" s="36">
        <f t="shared" si="26"/>
        <v>1770</v>
      </c>
      <c r="Q88" s="44">
        <v>1005</v>
      </c>
      <c r="R88">
        <v>1346</v>
      </c>
      <c r="S88" s="36">
        <f t="shared" si="27"/>
        <v>2351</v>
      </c>
      <c r="T88" s="44">
        <v>1485</v>
      </c>
      <c r="U88">
        <v>1598</v>
      </c>
      <c r="V88" s="36">
        <f t="shared" si="28"/>
        <v>3083</v>
      </c>
      <c r="W88" s="44">
        <v>884</v>
      </c>
      <c r="X88">
        <v>929</v>
      </c>
      <c r="Y88" s="36">
        <f t="shared" si="29"/>
        <v>1813</v>
      </c>
      <c r="Z88" s="44">
        <v>1418</v>
      </c>
      <c r="AA88">
        <v>1567</v>
      </c>
      <c r="AB88" s="36">
        <f t="shared" si="30"/>
        <v>2985</v>
      </c>
      <c r="AC88" s="44">
        <v>620</v>
      </c>
      <c r="AD88">
        <v>652</v>
      </c>
      <c r="AE88" s="36">
        <f t="shared" si="31"/>
        <v>1272</v>
      </c>
      <c r="AF88" s="44">
        <v>1176</v>
      </c>
      <c r="AG88">
        <v>1263</v>
      </c>
      <c r="AH88" s="36">
        <f t="shared" si="32"/>
        <v>2439</v>
      </c>
    </row>
    <row r="89" spans="1:34" x14ac:dyDescent="0.3">
      <c r="A89" s="44" t="s">
        <v>200</v>
      </c>
      <c r="B89" s="44">
        <v>510</v>
      </c>
      <c r="C89">
        <v>564</v>
      </c>
      <c r="D89" s="36">
        <f t="shared" si="22"/>
        <v>1074</v>
      </c>
      <c r="E89" s="44">
        <v>432</v>
      </c>
      <c r="F89">
        <v>462</v>
      </c>
      <c r="G89" s="36">
        <f t="shared" si="23"/>
        <v>894</v>
      </c>
      <c r="H89" s="44">
        <v>216</v>
      </c>
      <c r="I89">
        <v>307</v>
      </c>
      <c r="J89" s="36">
        <f t="shared" si="24"/>
        <v>523</v>
      </c>
      <c r="K89" s="44">
        <v>799</v>
      </c>
      <c r="L89">
        <v>1106</v>
      </c>
      <c r="M89" s="36">
        <f t="shared" si="25"/>
        <v>1905</v>
      </c>
      <c r="N89" s="44">
        <v>482</v>
      </c>
      <c r="O89">
        <v>434</v>
      </c>
      <c r="P89" s="36">
        <f t="shared" si="26"/>
        <v>916</v>
      </c>
      <c r="Q89" s="44">
        <v>497</v>
      </c>
      <c r="R89">
        <v>678</v>
      </c>
      <c r="S89" s="36">
        <f t="shared" si="27"/>
        <v>1175</v>
      </c>
      <c r="T89" s="44">
        <v>646</v>
      </c>
      <c r="U89">
        <v>671</v>
      </c>
      <c r="V89" s="36">
        <f t="shared" si="28"/>
        <v>1317</v>
      </c>
      <c r="W89" s="44">
        <v>477</v>
      </c>
      <c r="X89">
        <v>450</v>
      </c>
      <c r="Y89" s="36">
        <f t="shared" si="29"/>
        <v>927</v>
      </c>
      <c r="Z89" s="44">
        <v>461</v>
      </c>
      <c r="AA89">
        <v>557</v>
      </c>
      <c r="AB89" s="36">
        <f t="shared" si="30"/>
        <v>1018</v>
      </c>
      <c r="AC89" s="44">
        <v>188</v>
      </c>
      <c r="AD89">
        <v>181</v>
      </c>
      <c r="AE89" s="36">
        <f t="shared" si="31"/>
        <v>369</v>
      </c>
      <c r="AF89" s="44">
        <v>625</v>
      </c>
      <c r="AG89">
        <v>536</v>
      </c>
      <c r="AH89" s="36">
        <f t="shared" si="32"/>
        <v>1161</v>
      </c>
    </row>
    <row r="90" spans="1:34" x14ac:dyDescent="0.3">
      <c r="A90" s="44" t="s">
        <v>201</v>
      </c>
      <c r="B90" s="44">
        <v>705</v>
      </c>
      <c r="C90">
        <v>515</v>
      </c>
      <c r="D90" s="36">
        <f t="shared" si="22"/>
        <v>1220</v>
      </c>
      <c r="E90" s="44">
        <v>587</v>
      </c>
      <c r="F90">
        <v>595</v>
      </c>
      <c r="G90" s="36">
        <f t="shared" si="23"/>
        <v>1182</v>
      </c>
      <c r="H90" s="44">
        <v>374</v>
      </c>
      <c r="I90">
        <v>415</v>
      </c>
      <c r="J90" s="36">
        <f t="shared" si="24"/>
        <v>789</v>
      </c>
      <c r="K90" s="44">
        <v>1243</v>
      </c>
      <c r="L90">
        <v>1390</v>
      </c>
      <c r="M90" s="36">
        <f t="shared" si="25"/>
        <v>2633</v>
      </c>
      <c r="N90" s="44">
        <v>582</v>
      </c>
      <c r="O90">
        <v>740</v>
      </c>
      <c r="P90" s="36">
        <f t="shared" si="26"/>
        <v>1322</v>
      </c>
      <c r="Q90" s="44">
        <v>448</v>
      </c>
      <c r="R90">
        <v>577</v>
      </c>
      <c r="S90" s="36">
        <f t="shared" si="27"/>
        <v>1025</v>
      </c>
      <c r="T90" s="44">
        <v>612</v>
      </c>
      <c r="U90">
        <v>930</v>
      </c>
      <c r="V90" s="36">
        <f t="shared" si="28"/>
        <v>1542</v>
      </c>
      <c r="W90" s="44">
        <v>546</v>
      </c>
      <c r="X90">
        <v>755</v>
      </c>
      <c r="Y90" s="36">
        <f t="shared" si="29"/>
        <v>1301</v>
      </c>
      <c r="Z90" s="44">
        <v>718</v>
      </c>
      <c r="AA90">
        <v>736</v>
      </c>
      <c r="AB90" s="36">
        <f t="shared" si="30"/>
        <v>1454</v>
      </c>
      <c r="AC90" s="44">
        <v>342</v>
      </c>
      <c r="AD90">
        <v>334</v>
      </c>
      <c r="AE90" s="36">
        <f t="shared" si="31"/>
        <v>676</v>
      </c>
      <c r="AF90" s="44">
        <v>621</v>
      </c>
      <c r="AG90">
        <v>719</v>
      </c>
      <c r="AH90" s="36">
        <f t="shared" si="32"/>
        <v>1340</v>
      </c>
    </row>
    <row r="91" spans="1:34" x14ac:dyDescent="0.3">
      <c r="A91" s="44" t="s">
        <v>202</v>
      </c>
      <c r="B91" s="44">
        <v>384</v>
      </c>
      <c r="C91">
        <v>275</v>
      </c>
      <c r="D91" s="36">
        <f t="shared" si="22"/>
        <v>659</v>
      </c>
      <c r="E91" s="44">
        <v>606</v>
      </c>
      <c r="F91">
        <v>535</v>
      </c>
      <c r="G91" s="36">
        <f t="shared" si="23"/>
        <v>1141</v>
      </c>
      <c r="H91" s="44">
        <v>242</v>
      </c>
      <c r="I91">
        <v>201</v>
      </c>
      <c r="J91" s="36">
        <f t="shared" si="24"/>
        <v>443</v>
      </c>
      <c r="K91" s="44">
        <v>689</v>
      </c>
      <c r="L91">
        <v>789</v>
      </c>
      <c r="M91" s="36">
        <f t="shared" si="25"/>
        <v>1478</v>
      </c>
      <c r="N91" s="44">
        <v>241</v>
      </c>
      <c r="O91">
        <v>305</v>
      </c>
      <c r="P91" s="36">
        <f t="shared" si="26"/>
        <v>546</v>
      </c>
      <c r="Q91" s="44">
        <v>443</v>
      </c>
      <c r="R91">
        <v>297</v>
      </c>
      <c r="S91" s="36">
        <f t="shared" si="27"/>
        <v>740</v>
      </c>
      <c r="T91" s="44">
        <v>430</v>
      </c>
      <c r="U91">
        <v>301</v>
      </c>
      <c r="V91" s="36">
        <f t="shared" si="28"/>
        <v>731</v>
      </c>
      <c r="W91" s="44">
        <v>381</v>
      </c>
      <c r="X91">
        <v>316</v>
      </c>
      <c r="Y91" s="36">
        <f t="shared" si="29"/>
        <v>697</v>
      </c>
      <c r="Z91" s="44">
        <v>383</v>
      </c>
      <c r="AA91">
        <v>369</v>
      </c>
      <c r="AB91" s="36">
        <f t="shared" si="30"/>
        <v>752</v>
      </c>
      <c r="AC91" s="44">
        <v>157</v>
      </c>
      <c r="AD91">
        <v>136</v>
      </c>
      <c r="AE91" s="36">
        <f t="shared" si="31"/>
        <v>293</v>
      </c>
      <c r="AF91" s="44">
        <v>351</v>
      </c>
      <c r="AG91">
        <v>450</v>
      </c>
      <c r="AH91" s="36">
        <f t="shared" si="32"/>
        <v>801</v>
      </c>
    </row>
    <row r="92" spans="1:34" x14ac:dyDescent="0.3">
      <c r="A92" s="44" t="s">
        <v>203</v>
      </c>
      <c r="B92" s="44">
        <v>354</v>
      </c>
      <c r="C92">
        <v>398</v>
      </c>
      <c r="D92" s="36">
        <f t="shared" si="22"/>
        <v>752</v>
      </c>
      <c r="E92" s="44">
        <v>525</v>
      </c>
      <c r="F92">
        <v>598</v>
      </c>
      <c r="G92" s="36">
        <f t="shared" si="23"/>
        <v>1123</v>
      </c>
      <c r="H92" s="44">
        <v>342</v>
      </c>
      <c r="I92">
        <v>420</v>
      </c>
      <c r="J92" s="36">
        <f t="shared" si="24"/>
        <v>762</v>
      </c>
      <c r="K92" s="44">
        <v>959</v>
      </c>
      <c r="L92">
        <v>925</v>
      </c>
      <c r="M92" s="36">
        <f t="shared" si="25"/>
        <v>1884</v>
      </c>
      <c r="N92" s="44">
        <v>389</v>
      </c>
      <c r="O92">
        <v>526</v>
      </c>
      <c r="P92" s="36">
        <f t="shared" si="26"/>
        <v>915</v>
      </c>
      <c r="Q92" s="44">
        <v>558</v>
      </c>
      <c r="R92">
        <v>570</v>
      </c>
      <c r="S92" s="36">
        <f t="shared" si="27"/>
        <v>1128</v>
      </c>
      <c r="T92" s="44">
        <v>571</v>
      </c>
      <c r="U92">
        <v>546</v>
      </c>
      <c r="V92" s="36">
        <f t="shared" si="28"/>
        <v>1117</v>
      </c>
      <c r="W92" s="44">
        <v>361</v>
      </c>
      <c r="X92">
        <v>455</v>
      </c>
      <c r="Y92" s="36">
        <f t="shared" si="29"/>
        <v>816</v>
      </c>
      <c r="Z92" s="44">
        <v>591</v>
      </c>
      <c r="AA92">
        <v>454</v>
      </c>
      <c r="AB92" s="36">
        <f t="shared" si="30"/>
        <v>1045</v>
      </c>
      <c r="AC92" s="44">
        <v>306</v>
      </c>
      <c r="AD92">
        <v>359</v>
      </c>
      <c r="AE92" s="36">
        <f t="shared" si="31"/>
        <v>665</v>
      </c>
      <c r="AF92" s="44">
        <v>651</v>
      </c>
      <c r="AG92">
        <v>598</v>
      </c>
      <c r="AH92" s="36">
        <f t="shared" si="32"/>
        <v>1249</v>
      </c>
    </row>
    <row r="93" spans="1:34" x14ac:dyDescent="0.3">
      <c r="A93" s="44" t="s">
        <v>204</v>
      </c>
      <c r="B93" s="44">
        <v>306</v>
      </c>
      <c r="C93">
        <v>398</v>
      </c>
      <c r="D93" s="36">
        <f t="shared" si="22"/>
        <v>704</v>
      </c>
      <c r="E93" s="44">
        <v>809</v>
      </c>
      <c r="F93">
        <v>674</v>
      </c>
      <c r="G93" s="36">
        <f t="shared" si="23"/>
        <v>1483</v>
      </c>
      <c r="H93" s="44">
        <v>293</v>
      </c>
      <c r="I93">
        <v>444</v>
      </c>
      <c r="J93" s="36">
        <f t="shared" si="24"/>
        <v>737</v>
      </c>
      <c r="K93" s="44">
        <v>1154</v>
      </c>
      <c r="L93">
        <v>1062</v>
      </c>
      <c r="M93" s="36">
        <f t="shared" si="25"/>
        <v>2216</v>
      </c>
      <c r="N93" s="44">
        <v>318</v>
      </c>
      <c r="O93">
        <v>532</v>
      </c>
      <c r="P93" s="36">
        <f t="shared" si="26"/>
        <v>850</v>
      </c>
      <c r="Q93" s="44">
        <v>675</v>
      </c>
      <c r="R93">
        <v>605</v>
      </c>
      <c r="S93" s="36">
        <f t="shared" si="27"/>
        <v>1280</v>
      </c>
      <c r="T93" s="44">
        <v>741</v>
      </c>
      <c r="U93">
        <v>835</v>
      </c>
      <c r="V93" s="36">
        <f t="shared" si="28"/>
        <v>1576</v>
      </c>
      <c r="W93" s="44">
        <v>395</v>
      </c>
      <c r="X93">
        <v>596</v>
      </c>
      <c r="Y93" s="36">
        <f t="shared" si="29"/>
        <v>991</v>
      </c>
      <c r="Z93" s="44">
        <v>423</v>
      </c>
      <c r="AA93">
        <v>540</v>
      </c>
      <c r="AB93" s="36">
        <f t="shared" si="30"/>
        <v>963</v>
      </c>
      <c r="AC93" s="44">
        <v>256</v>
      </c>
      <c r="AD93">
        <v>320</v>
      </c>
      <c r="AE93" s="36">
        <f t="shared" si="31"/>
        <v>576</v>
      </c>
      <c r="AF93" s="44">
        <v>662</v>
      </c>
      <c r="AG93">
        <v>714</v>
      </c>
      <c r="AH93" s="36">
        <f t="shared" si="32"/>
        <v>1376</v>
      </c>
    </row>
    <row r="94" spans="1:34" x14ac:dyDescent="0.3">
      <c r="A94" s="44" t="s">
        <v>205</v>
      </c>
      <c r="B94" s="44">
        <v>276</v>
      </c>
      <c r="C94">
        <v>611</v>
      </c>
      <c r="D94" s="36">
        <f t="shared" si="22"/>
        <v>887</v>
      </c>
      <c r="E94" s="44">
        <v>480</v>
      </c>
      <c r="F94">
        <v>597</v>
      </c>
      <c r="G94" s="36">
        <f t="shared" si="23"/>
        <v>1077</v>
      </c>
      <c r="H94" s="44">
        <v>174</v>
      </c>
      <c r="I94">
        <v>317</v>
      </c>
      <c r="J94" s="36">
        <f t="shared" si="24"/>
        <v>491</v>
      </c>
      <c r="K94" s="44">
        <v>568</v>
      </c>
      <c r="L94">
        <v>497</v>
      </c>
      <c r="M94" s="36">
        <f t="shared" si="25"/>
        <v>1065</v>
      </c>
      <c r="N94" s="44">
        <v>228</v>
      </c>
      <c r="O94">
        <v>391</v>
      </c>
      <c r="P94" s="36">
        <f t="shared" si="26"/>
        <v>619</v>
      </c>
      <c r="Q94" s="44">
        <v>318</v>
      </c>
      <c r="R94">
        <v>346</v>
      </c>
      <c r="S94" s="36">
        <f t="shared" si="27"/>
        <v>664</v>
      </c>
      <c r="T94" s="44">
        <v>391</v>
      </c>
      <c r="U94">
        <v>400</v>
      </c>
      <c r="V94" s="36">
        <f t="shared" si="28"/>
        <v>791</v>
      </c>
      <c r="W94" s="44">
        <v>170</v>
      </c>
      <c r="X94">
        <v>400</v>
      </c>
      <c r="Y94" s="36">
        <f t="shared" si="29"/>
        <v>570</v>
      </c>
      <c r="Z94" s="44">
        <v>245</v>
      </c>
      <c r="AA94">
        <v>349</v>
      </c>
      <c r="AB94" s="36">
        <f t="shared" si="30"/>
        <v>594</v>
      </c>
      <c r="AC94" s="44">
        <v>46</v>
      </c>
      <c r="AD94">
        <v>156</v>
      </c>
      <c r="AE94" s="36">
        <f t="shared" si="31"/>
        <v>202</v>
      </c>
      <c r="AF94" s="44">
        <v>413</v>
      </c>
      <c r="AG94">
        <v>545</v>
      </c>
      <c r="AH94" s="36">
        <f t="shared" si="32"/>
        <v>958</v>
      </c>
    </row>
    <row r="95" spans="1:34" x14ac:dyDescent="0.3">
      <c r="A95" s="44" t="s">
        <v>206</v>
      </c>
      <c r="B95" s="44">
        <v>185</v>
      </c>
      <c r="C95">
        <v>270</v>
      </c>
      <c r="D95" s="36">
        <f t="shared" si="22"/>
        <v>455</v>
      </c>
      <c r="E95" s="44">
        <v>243</v>
      </c>
      <c r="F95">
        <v>321</v>
      </c>
      <c r="G95" s="36">
        <f t="shared" si="23"/>
        <v>564</v>
      </c>
      <c r="H95" s="44">
        <v>100</v>
      </c>
      <c r="I95">
        <v>100</v>
      </c>
      <c r="J95" s="36">
        <f t="shared" si="24"/>
        <v>200</v>
      </c>
      <c r="K95" s="44">
        <v>328</v>
      </c>
      <c r="L95">
        <v>468</v>
      </c>
      <c r="M95" s="36">
        <f t="shared" si="25"/>
        <v>796</v>
      </c>
      <c r="N95" s="44">
        <v>233</v>
      </c>
      <c r="O95">
        <v>369</v>
      </c>
      <c r="P95" s="36">
        <f t="shared" si="26"/>
        <v>602</v>
      </c>
      <c r="Q95" s="44">
        <v>133</v>
      </c>
      <c r="R95">
        <v>199</v>
      </c>
      <c r="S95" s="36">
        <f t="shared" si="27"/>
        <v>332</v>
      </c>
      <c r="T95" s="44">
        <v>291</v>
      </c>
      <c r="U95">
        <v>483</v>
      </c>
      <c r="V95" s="36">
        <f t="shared" si="28"/>
        <v>774</v>
      </c>
      <c r="W95" s="44">
        <v>261</v>
      </c>
      <c r="X95">
        <v>374</v>
      </c>
      <c r="Y95" s="36">
        <f t="shared" si="29"/>
        <v>635</v>
      </c>
      <c r="Z95" s="44">
        <v>159</v>
      </c>
      <c r="AA95">
        <v>267</v>
      </c>
      <c r="AB95" s="36">
        <f t="shared" si="30"/>
        <v>426</v>
      </c>
      <c r="AC95" s="44">
        <v>26</v>
      </c>
      <c r="AD95">
        <v>170</v>
      </c>
      <c r="AE95" s="36">
        <f t="shared" si="31"/>
        <v>196</v>
      </c>
      <c r="AF95" s="44">
        <v>305</v>
      </c>
      <c r="AG95">
        <v>397</v>
      </c>
      <c r="AH95" s="36">
        <f t="shared" si="32"/>
        <v>702</v>
      </c>
    </row>
    <row r="96" spans="1:34" x14ac:dyDescent="0.3">
      <c r="A96" s="44" t="s">
        <v>207</v>
      </c>
      <c r="B96" s="44">
        <v>179</v>
      </c>
      <c r="C96">
        <v>144</v>
      </c>
      <c r="D96" s="36">
        <f t="shared" si="22"/>
        <v>323</v>
      </c>
      <c r="E96" s="44">
        <v>355</v>
      </c>
      <c r="F96">
        <v>374</v>
      </c>
      <c r="G96" s="36">
        <f t="shared" si="23"/>
        <v>729</v>
      </c>
      <c r="H96" s="44">
        <v>112</v>
      </c>
      <c r="I96">
        <v>142</v>
      </c>
      <c r="J96" s="36">
        <f t="shared" si="24"/>
        <v>254</v>
      </c>
      <c r="K96" s="44">
        <v>235</v>
      </c>
      <c r="L96">
        <v>437</v>
      </c>
      <c r="M96" s="36">
        <f t="shared" si="25"/>
        <v>672</v>
      </c>
      <c r="N96" s="44">
        <v>160</v>
      </c>
      <c r="O96">
        <v>347</v>
      </c>
      <c r="P96" s="36">
        <f t="shared" si="26"/>
        <v>507</v>
      </c>
      <c r="Q96" s="44">
        <v>375</v>
      </c>
      <c r="R96">
        <v>538</v>
      </c>
      <c r="S96" s="36">
        <f t="shared" si="27"/>
        <v>913</v>
      </c>
      <c r="T96" s="44">
        <v>360</v>
      </c>
      <c r="U96">
        <v>581</v>
      </c>
      <c r="V96" s="36">
        <f t="shared" si="28"/>
        <v>941</v>
      </c>
      <c r="W96" s="44">
        <v>193</v>
      </c>
      <c r="X96">
        <v>357</v>
      </c>
      <c r="Y96" s="36">
        <f t="shared" si="29"/>
        <v>550</v>
      </c>
      <c r="Z96" s="44">
        <v>67</v>
      </c>
      <c r="AA96">
        <v>281</v>
      </c>
      <c r="AB96" s="36">
        <f t="shared" si="30"/>
        <v>348</v>
      </c>
      <c r="AC96" s="44">
        <v>90</v>
      </c>
      <c r="AD96">
        <v>291</v>
      </c>
      <c r="AE96" s="36">
        <f t="shared" si="31"/>
        <v>381</v>
      </c>
      <c r="AF96" s="44">
        <v>337</v>
      </c>
      <c r="AG96">
        <v>659</v>
      </c>
      <c r="AH96" s="36">
        <f t="shared" si="32"/>
        <v>996</v>
      </c>
    </row>
    <row r="97" spans="1:34" x14ac:dyDescent="0.3">
      <c r="C97" s="44"/>
      <c r="D97" s="45"/>
      <c r="F97" s="44"/>
      <c r="G97" s="45"/>
      <c r="I97" s="44"/>
      <c r="J97" s="45"/>
      <c r="L97" s="44"/>
      <c r="M97" s="45"/>
      <c r="O97" s="44"/>
      <c r="P97" s="45"/>
      <c r="R97" s="44"/>
      <c r="S97" s="45"/>
      <c r="U97" s="44"/>
      <c r="V97" s="45"/>
      <c r="X97" s="44"/>
      <c r="Y97" s="45"/>
      <c r="AA97" s="44"/>
      <c r="AB97" s="45"/>
      <c r="AD97" s="44"/>
      <c r="AE97" s="45"/>
      <c r="AH97" s="45"/>
    </row>
    <row r="98" spans="1:34" s="70" customFormat="1" x14ac:dyDescent="0.3">
      <c r="A98" s="84" t="s">
        <v>243</v>
      </c>
      <c r="B98" s="60"/>
      <c r="C98" s="60"/>
      <c r="D98" s="84"/>
      <c r="E98" s="60"/>
      <c r="F98" s="60"/>
      <c r="G98" s="84"/>
      <c r="H98" s="60"/>
      <c r="I98" s="60"/>
      <c r="J98" s="84"/>
      <c r="K98" s="60"/>
      <c r="L98" s="60"/>
      <c r="M98" s="84"/>
      <c r="N98" s="60"/>
      <c r="O98" s="60"/>
      <c r="P98" s="84"/>
      <c r="Q98" s="60"/>
      <c r="R98" s="60"/>
      <c r="S98" s="84"/>
      <c r="T98" s="60"/>
      <c r="U98" s="60"/>
      <c r="V98" s="84"/>
      <c r="W98" s="60"/>
      <c r="X98" s="60"/>
      <c r="Y98" s="84"/>
      <c r="Z98" s="60"/>
      <c r="AA98" s="60"/>
      <c r="AB98" s="84"/>
      <c r="AC98" s="60"/>
      <c r="AD98" s="60"/>
      <c r="AE98" s="84"/>
      <c r="AF98" s="60"/>
      <c r="AG98" s="60"/>
      <c r="AH98" s="84"/>
    </row>
    <row r="99" spans="1:34" s="70" customFormat="1" x14ac:dyDescent="0.3">
      <c r="A99" s="164"/>
      <c r="B99" s="176">
        <v>90802</v>
      </c>
      <c r="C99" s="176"/>
      <c r="D99" s="85"/>
      <c r="E99" s="176">
        <v>90803</v>
      </c>
      <c r="F99" s="176"/>
      <c r="G99" s="85"/>
      <c r="H99" s="176">
        <v>90804</v>
      </c>
      <c r="I99" s="176"/>
      <c r="J99" s="85"/>
      <c r="K99" s="176">
        <v>90805</v>
      </c>
      <c r="L99" s="176"/>
      <c r="M99" s="85"/>
      <c r="N99" s="176">
        <v>90806</v>
      </c>
      <c r="O99" s="176"/>
      <c r="P99" s="85"/>
      <c r="Q99" s="176">
        <v>90807</v>
      </c>
      <c r="R99" s="176"/>
      <c r="S99" s="85"/>
      <c r="T99" s="176">
        <v>90808</v>
      </c>
      <c r="U99" s="176"/>
      <c r="V99" s="85"/>
      <c r="W99" s="176">
        <v>90810</v>
      </c>
      <c r="X99" s="176"/>
      <c r="Y99" s="85"/>
      <c r="Z99" s="176">
        <v>90813</v>
      </c>
      <c r="AA99" s="176"/>
      <c r="AB99" s="85"/>
      <c r="AC99" s="176">
        <v>90814</v>
      </c>
      <c r="AD99" s="176"/>
      <c r="AE99" s="85"/>
      <c r="AF99" s="176">
        <v>90815</v>
      </c>
      <c r="AG99" s="176"/>
      <c r="AH99" s="85"/>
    </row>
    <row r="100" spans="1:34" s="70" customFormat="1" x14ac:dyDescent="0.3">
      <c r="A100" s="60"/>
      <c r="B100" s="60" t="s">
        <v>81</v>
      </c>
      <c r="C100" s="60" t="s">
        <v>82</v>
      </c>
      <c r="D100" s="82" t="s">
        <v>83</v>
      </c>
      <c r="E100" s="60" t="s">
        <v>81</v>
      </c>
      <c r="F100" s="60" t="s">
        <v>82</v>
      </c>
      <c r="G100" s="82" t="s">
        <v>83</v>
      </c>
      <c r="H100" s="60" t="s">
        <v>81</v>
      </c>
      <c r="I100" s="60" t="s">
        <v>82</v>
      </c>
      <c r="J100" s="82" t="s">
        <v>83</v>
      </c>
      <c r="K100" s="60" t="s">
        <v>81</v>
      </c>
      <c r="L100" s="60" t="s">
        <v>82</v>
      </c>
      <c r="M100" s="82" t="s">
        <v>83</v>
      </c>
      <c r="N100" s="60" t="s">
        <v>81</v>
      </c>
      <c r="O100" s="60" t="s">
        <v>82</v>
      </c>
      <c r="P100" s="82" t="s">
        <v>83</v>
      </c>
      <c r="Q100" s="60" t="s">
        <v>81</v>
      </c>
      <c r="R100" s="60" t="s">
        <v>82</v>
      </c>
      <c r="S100" s="82" t="s">
        <v>83</v>
      </c>
      <c r="T100" s="60" t="s">
        <v>81</v>
      </c>
      <c r="U100" s="60" t="s">
        <v>82</v>
      </c>
      <c r="V100" s="82" t="s">
        <v>83</v>
      </c>
      <c r="W100" s="60" t="s">
        <v>81</v>
      </c>
      <c r="X100" s="60" t="s">
        <v>82</v>
      </c>
      <c r="Y100" s="82" t="s">
        <v>83</v>
      </c>
      <c r="Z100" s="60" t="s">
        <v>81</v>
      </c>
      <c r="AA100" s="60" t="s">
        <v>82</v>
      </c>
      <c r="AB100" s="82" t="s">
        <v>83</v>
      </c>
      <c r="AC100" s="60" t="s">
        <v>81</v>
      </c>
      <c r="AD100" s="60" t="s">
        <v>82</v>
      </c>
      <c r="AE100" s="82" t="s">
        <v>83</v>
      </c>
      <c r="AF100" s="60" t="s">
        <v>81</v>
      </c>
      <c r="AG100" s="60" t="s">
        <v>304</v>
      </c>
      <c r="AH100" s="82" t="s">
        <v>83</v>
      </c>
    </row>
    <row r="101" spans="1:34" s="70" customFormat="1" x14ac:dyDescent="0.3">
      <c r="A101" s="60" t="s">
        <v>83</v>
      </c>
      <c r="B101" s="60">
        <v>20513</v>
      </c>
      <c r="C101" s="70">
        <v>18449</v>
      </c>
      <c r="D101" s="80">
        <f>SUM(B101:C101)</f>
        <v>38962</v>
      </c>
      <c r="E101" s="60">
        <v>15575</v>
      </c>
      <c r="F101" s="70">
        <v>16551</v>
      </c>
      <c r="G101" s="80">
        <f>SUM(E101:F101)</f>
        <v>32126</v>
      </c>
      <c r="H101" s="60">
        <v>19245</v>
      </c>
      <c r="I101" s="70">
        <v>19994</v>
      </c>
      <c r="J101" s="80">
        <f>SUM(H101:I101)</f>
        <v>39239</v>
      </c>
      <c r="K101" s="60">
        <v>46711</v>
      </c>
      <c r="L101" s="70">
        <v>49284</v>
      </c>
      <c r="M101" s="80">
        <f>SUM(K101:L101)</f>
        <v>95995</v>
      </c>
      <c r="N101" s="60">
        <v>20762</v>
      </c>
      <c r="O101" s="70">
        <v>21228</v>
      </c>
      <c r="P101" s="80">
        <f>SUM(N101:O101)</f>
        <v>41990</v>
      </c>
      <c r="Q101" s="60">
        <v>16291</v>
      </c>
      <c r="R101" s="70">
        <v>15911</v>
      </c>
      <c r="S101" s="80">
        <f>SUM(Q101:R101)</f>
        <v>32202</v>
      </c>
      <c r="T101" s="60">
        <v>19492</v>
      </c>
      <c r="U101" s="70">
        <v>19838</v>
      </c>
      <c r="V101" s="80">
        <f>SUM(T101:U101)</f>
        <v>39330</v>
      </c>
      <c r="W101" s="60">
        <v>18056</v>
      </c>
      <c r="X101" s="70">
        <v>19195</v>
      </c>
      <c r="Y101" s="80">
        <f>SUM(W101:X101)</f>
        <v>37251</v>
      </c>
      <c r="Z101" s="60">
        <v>29354</v>
      </c>
      <c r="AA101" s="70">
        <v>29026</v>
      </c>
      <c r="AB101" s="80">
        <f>SUM(Z101:AA101)</f>
        <v>58380</v>
      </c>
      <c r="AC101" s="60">
        <v>9212</v>
      </c>
      <c r="AD101" s="70">
        <v>10473</v>
      </c>
      <c r="AE101" s="80">
        <f>SUM(AC101:AD101)</f>
        <v>19685</v>
      </c>
      <c r="AF101" s="60">
        <v>20155</v>
      </c>
      <c r="AG101" s="70">
        <v>21157</v>
      </c>
      <c r="AH101" s="80">
        <f>SUM(AF101:AG101)</f>
        <v>41312</v>
      </c>
    </row>
    <row r="102" spans="1:34" x14ac:dyDescent="0.3">
      <c r="A102" s="44" t="s">
        <v>185</v>
      </c>
      <c r="B102" s="44">
        <v>877</v>
      </c>
      <c r="C102">
        <v>1068</v>
      </c>
      <c r="D102" s="36">
        <f t="shared" ref="D102:D124" si="33">SUM(B102:C102)</f>
        <v>1945</v>
      </c>
      <c r="E102" s="44">
        <v>462</v>
      </c>
      <c r="F102">
        <v>660</v>
      </c>
      <c r="G102" s="36">
        <f t="shared" ref="G102:G124" si="34">SUM(E102:F102)</f>
        <v>1122</v>
      </c>
      <c r="H102" s="44">
        <v>1311</v>
      </c>
      <c r="I102">
        <v>1296</v>
      </c>
      <c r="J102" s="36">
        <f t="shared" ref="J102:J124" si="35">SUM(H102:I102)</f>
        <v>2607</v>
      </c>
      <c r="K102" s="44">
        <v>3660</v>
      </c>
      <c r="L102">
        <v>4056</v>
      </c>
      <c r="M102" s="36">
        <f t="shared" ref="M102:M124" si="36">SUM(K102:L102)</f>
        <v>7716</v>
      </c>
      <c r="N102" s="44">
        <v>1740</v>
      </c>
      <c r="O102">
        <v>1493</v>
      </c>
      <c r="P102" s="36">
        <f t="shared" ref="P102:P124" si="37">SUM(N102:O102)</f>
        <v>3233</v>
      </c>
      <c r="Q102" s="44">
        <v>833</v>
      </c>
      <c r="R102">
        <v>928</v>
      </c>
      <c r="S102" s="36">
        <f t="shared" ref="S102:S124" si="38">SUM(Q102:R102)</f>
        <v>1761</v>
      </c>
      <c r="T102" s="44">
        <v>1086</v>
      </c>
      <c r="U102">
        <v>1065</v>
      </c>
      <c r="V102" s="36">
        <f t="shared" ref="V102:V124" si="39">SUM(T102:U102)</f>
        <v>2151</v>
      </c>
      <c r="W102" s="44">
        <v>1223</v>
      </c>
      <c r="X102">
        <v>1019</v>
      </c>
      <c r="Y102" s="36">
        <f t="shared" ref="Y102:Y124" si="40">SUM(W102:X102)</f>
        <v>2242</v>
      </c>
      <c r="Z102" s="44">
        <v>2448</v>
      </c>
      <c r="AA102">
        <v>2473</v>
      </c>
      <c r="AB102" s="36">
        <f t="shared" ref="AB102:AB124" si="41">SUM(Z102:AA102)</f>
        <v>4921</v>
      </c>
      <c r="AC102" s="44">
        <v>507</v>
      </c>
      <c r="AD102">
        <v>578</v>
      </c>
      <c r="AE102" s="36">
        <f t="shared" ref="AE102:AE124" si="42">SUM(AC102:AD102)</f>
        <v>1085</v>
      </c>
      <c r="AF102" s="44">
        <v>1206</v>
      </c>
      <c r="AG102">
        <v>1123</v>
      </c>
      <c r="AH102" s="36">
        <f t="shared" ref="AH102:AH124" si="43">SUM(AF102:AG102)</f>
        <v>2329</v>
      </c>
    </row>
    <row r="103" spans="1:34" x14ac:dyDescent="0.3">
      <c r="A103" s="44" t="s">
        <v>186</v>
      </c>
      <c r="B103" s="44">
        <v>776</v>
      </c>
      <c r="C103">
        <v>511</v>
      </c>
      <c r="D103" s="36">
        <f t="shared" si="33"/>
        <v>1287</v>
      </c>
      <c r="E103" s="44">
        <v>320</v>
      </c>
      <c r="F103">
        <v>523</v>
      </c>
      <c r="G103" s="36">
        <f t="shared" si="34"/>
        <v>843</v>
      </c>
      <c r="H103" s="44">
        <v>1174</v>
      </c>
      <c r="I103">
        <v>1056</v>
      </c>
      <c r="J103" s="36">
        <f t="shared" si="35"/>
        <v>2230</v>
      </c>
      <c r="K103" s="44">
        <v>3926</v>
      </c>
      <c r="L103">
        <v>3962</v>
      </c>
      <c r="M103" s="36">
        <f t="shared" si="36"/>
        <v>7888</v>
      </c>
      <c r="N103" s="44">
        <v>1626</v>
      </c>
      <c r="O103">
        <v>1391</v>
      </c>
      <c r="P103" s="36">
        <f t="shared" si="37"/>
        <v>3017</v>
      </c>
      <c r="Q103" s="44">
        <v>1034</v>
      </c>
      <c r="R103">
        <v>537</v>
      </c>
      <c r="S103" s="36">
        <f t="shared" si="38"/>
        <v>1571</v>
      </c>
      <c r="T103" s="44">
        <v>1212</v>
      </c>
      <c r="U103">
        <v>1173</v>
      </c>
      <c r="V103" s="36">
        <f t="shared" si="39"/>
        <v>2385</v>
      </c>
      <c r="W103" s="44">
        <v>1244</v>
      </c>
      <c r="X103">
        <v>1200</v>
      </c>
      <c r="Y103" s="36">
        <f t="shared" si="40"/>
        <v>2444</v>
      </c>
      <c r="Z103" s="44">
        <v>2596</v>
      </c>
      <c r="AA103">
        <v>2283</v>
      </c>
      <c r="AB103" s="36">
        <f t="shared" si="41"/>
        <v>4879</v>
      </c>
      <c r="AC103" s="44">
        <v>437</v>
      </c>
      <c r="AD103">
        <v>284</v>
      </c>
      <c r="AE103" s="36">
        <f t="shared" si="42"/>
        <v>721</v>
      </c>
      <c r="AF103" s="44">
        <v>883</v>
      </c>
      <c r="AG103">
        <v>732</v>
      </c>
      <c r="AH103" s="36">
        <f t="shared" si="43"/>
        <v>1615</v>
      </c>
    </row>
    <row r="104" spans="1:34" x14ac:dyDescent="0.3">
      <c r="A104" s="44" t="s">
        <v>187</v>
      </c>
      <c r="B104" s="44">
        <v>870</v>
      </c>
      <c r="C104">
        <v>684</v>
      </c>
      <c r="D104" s="36">
        <f t="shared" si="33"/>
        <v>1554</v>
      </c>
      <c r="E104" s="44">
        <v>430</v>
      </c>
      <c r="F104">
        <v>464</v>
      </c>
      <c r="G104" s="36">
        <f t="shared" si="34"/>
        <v>894</v>
      </c>
      <c r="H104" s="44">
        <v>1168</v>
      </c>
      <c r="I104">
        <v>913</v>
      </c>
      <c r="J104" s="36">
        <f t="shared" si="35"/>
        <v>2081</v>
      </c>
      <c r="K104" s="44">
        <v>4449</v>
      </c>
      <c r="L104">
        <v>3152</v>
      </c>
      <c r="M104" s="36">
        <f t="shared" si="36"/>
        <v>7601</v>
      </c>
      <c r="N104" s="44">
        <v>1570</v>
      </c>
      <c r="O104">
        <v>1372</v>
      </c>
      <c r="P104" s="36">
        <f t="shared" si="37"/>
        <v>2942</v>
      </c>
      <c r="Q104" s="44">
        <v>1013</v>
      </c>
      <c r="R104">
        <v>701</v>
      </c>
      <c r="S104" s="36">
        <f t="shared" si="38"/>
        <v>1714</v>
      </c>
      <c r="T104" s="44">
        <v>1365</v>
      </c>
      <c r="U104">
        <v>1110</v>
      </c>
      <c r="V104" s="36">
        <f t="shared" si="39"/>
        <v>2475</v>
      </c>
      <c r="W104" s="44">
        <v>1188</v>
      </c>
      <c r="X104">
        <v>1293</v>
      </c>
      <c r="Y104" s="36">
        <f t="shared" si="40"/>
        <v>2481</v>
      </c>
      <c r="Z104" s="44">
        <v>2201</v>
      </c>
      <c r="AA104">
        <v>2361</v>
      </c>
      <c r="AB104" s="36">
        <f t="shared" si="41"/>
        <v>4562</v>
      </c>
      <c r="AC104" s="44">
        <v>509</v>
      </c>
      <c r="AD104">
        <v>296</v>
      </c>
      <c r="AE104" s="36">
        <f t="shared" si="42"/>
        <v>805</v>
      </c>
      <c r="AF104" s="44">
        <v>1186</v>
      </c>
      <c r="AG104">
        <v>1127</v>
      </c>
      <c r="AH104" s="36">
        <f t="shared" si="43"/>
        <v>2313</v>
      </c>
    </row>
    <row r="105" spans="1:34" x14ac:dyDescent="0.3">
      <c r="A105" s="44" t="s">
        <v>188</v>
      </c>
      <c r="B105" s="44">
        <v>291</v>
      </c>
      <c r="C105">
        <v>458</v>
      </c>
      <c r="D105" s="36">
        <f t="shared" si="33"/>
        <v>749</v>
      </c>
      <c r="E105" s="44">
        <v>366</v>
      </c>
      <c r="F105">
        <v>348</v>
      </c>
      <c r="G105" s="36">
        <f t="shared" si="34"/>
        <v>714</v>
      </c>
      <c r="H105" s="44">
        <v>690</v>
      </c>
      <c r="I105">
        <v>671</v>
      </c>
      <c r="J105" s="36">
        <f t="shared" si="35"/>
        <v>1361</v>
      </c>
      <c r="K105" s="44">
        <v>2075</v>
      </c>
      <c r="L105">
        <v>2342</v>
      </c>
      <c r="M105" s="36">
        <f t="shared" si="36"/>
        <v>4417</v>
      </c>
      <c r="N105" s="44">
        <v>768</v>
      </c>
      <c r="O105">
        <v>707</v>
      </c>
      <c r="P105" s="36">
        <f t="shared" si="37"/>
        <v>1475</v>
      </c>
      <c r="Q105" s="44">
        <v>523</v>
      </c>
      <c r="R105">
        <v>437</v>
      </c>
      <c r="S105" s="36">
        <f t="shared" si="38"/>
        <v>960</v>
      </c>
      <c r="T105" s="44">
        <v>852</v>
      </c>
      <c r="U105">
        <v>529</v>
      </c>
      <c r="V105" s="36">
        <f t="shared" si="39"/>
        <v>1381</v>
      </c>
      <c r="W105" s="44">
        <v>758</v>
      </c>
      <c r="X105">
        <v>987</v>
      </c>
      <c r="Y105" s="36">
        <f t="shared" si="40"/>
        <v>1745</v>
      </c>
      <c r="Z105" s="44">
        <v>1322</v>
      </c>
      <c r="AA105">
        <v>1304</v>
      </c>
      <c r="AB105" s="36">
        <f t="shared" si="41"/>
        <v>2626</v>
      </c>
      <c r="AC105" s="44">
        <v>145</v>
      </c>
      <c r="AD105">
        <v>346</v>
      </c>
      <c r="AE105" s="36">
        <f t="shared" si="42"/>
        <v>491</v>
      </c>
      <c r="AF105" s="44">
        <v>670</v>
      </c>
      <c r="AG105">
        <v>634</v>
      </c>
      <c r="AH105" s="36">
        <f t="shared" si="43"/>
        <v>1304</v>
      </c>
    </row>
    <row r="106" spans="1:34" x14ac:dyDescent="0.3">
      <c r="A106" s="44" t="s">
        <v>189</v>
      </c>
      <c r="B106" s="44">
        <v>348</v>
      </c>
      <c r="C106">
        <v>255</v>
      </c>
      <c r="D106" s="36">
        <f t="shared" si="33"/>
        <v>603</v>
      </c>
      <c r="E106" s="44">
        <v>186</v>
      </c>
      <c r="F106">
        <v>180</v>
      </c>
      <c r="G106" s="36">
        <f t="shared" si="34"/>
        <v>366</v>
      </c>
      <c r="H106" s="44">
        <v>631</v>
      </c>
      <c r="I106">
        <v>542</v>
      </c>
      <c r="J106" s="36">
        <f t="shared" si="35"/>
        <v>1173</v>
      </c>
      <c r="K106" s="44">
        <v>1067</v>
      </c>
      <c r="L106">
        <v>1359</v>
      </c>
      <c r="M106" s="36">
        <f t="shared" si="36"/>
        <v>2426</v>
      </c>
      <c r="N106" s="44">
        <v>574</v>
      </c>
      <c r="O106">
        <v>663</v>
      </c>
      <c r="P106" s="36">
        <f t="shared" si="37"/>
        <v>1237</v>
      </c>
      <c r="Q106" s="44">
        <v>365</v>
      </c>
      <c r="R106">
        <v>304</v>
      </c>
      <c r="S106" s="36">
        <f t="shared" si="38"/>
        <v>669</v>
      </c>
      <c r="T106" s="44">
        <v>365</v>
      </c>
      <c r="U106">
        <v>324</v>
      </c>
      <c r="V106" s="36">
        <f t="shared" si="39"/>
        <v>689</v>
      </c>
      <c r="W106" s="44">
        <v>684</v>
      </c>
      <c r="X106">
        <v>596</v>
      </c>
      <c r="Y106" s="36">
        <f t="shared" si="40"/>
        <v>1280</v>
      </c>
      <c r="Z106" s="44">
        <v>1039</v>
      </c>
      <c r="AA106">
        <v>682</v>
      </c>
      <c r="AB106" s="36">
        <f t="shared" si="41"/>
        <v>1721</v>
      </c>
      <c r="AC106" s="44">
        <v>76</v>
      </c>
      <c r="AD106">
        <v>160</v>
      </c>
      <c r="AE106" s="36">
        <f t="shared" si="42"/>
        <v>236</v>
      </c>
      <c r="AF106" s="44">
        <v>1024</v>
      </c>
      <c r="AG106">
        <v>1218</v>
      </c>
      <c r="AH106" s="36">
        <f t="shared" si="43"/>
        <v>2242</v>
      </c>
    </row>
    <row r="107" spans="1:34" x14ac:dyDescent="0.3">
      <c r="A107" s="44" t="s">
        <v>190</v>
      </c>
      <c r="B107" s="44">
        <v>175</v>
      </c>
      <c r="C107">
        <v>265</v>
      </c>
      <c r="D107" s="36">
        <f t="shared" si="33"/>
        <v>440</v>
      </c>
      <c r="E107" s="44">
        <v>133</v>
      </c>
      <c r="F107">
        <v>136</v>
      </c>
      <c r="G107" s="36">
        <f t="shared" si="34"/>
        <v>269</v>
      </c>
      <c r="H107" s="44">
        <v>411</v>
      </c>
      <c r="I107">
        <v>445</v>
      </c>
      <c r="J107" s="36">
        <f t="shared" si="35"/>
        <v>856</v>
      </c>
      <c r="K107" s="44">
        <v>680</v>
      </c>
      <c r="L107">
        <v>772</v>
      </c>
      <c r="M107" s="36">
        <f t="shared" si="36"/>
        <v>1452</v>
      </c>
      <c r="N107" s="44">
        <v>395</v>
      </c>
      <c r="O107">
        <v>412</v>
      </c>
      <c r="P107" s="36">
        <f t="shared" si="37"/>
        <v>807</v>
      </c>
      <c r="Q107" s="44">
        <v>220</v>
      </c>
      <c r="R107">
        <v>156</v>
      </c>
      <c r="S107" s="36">
        <f t="shared" si="38"/>
        <v>376</v>
      </c>
      <c r="T107" s="44">
        <v>168</v>
      </c>
      <c r="U107">
        <v>167</v>
      </c>
      <c r="V107" s="36">
        <f t="shared" si="39"/>
        <v>335</v>
      </c>
      <c r="W107" s="44">
        <v>193</v>
      </c>
      <c r="X107">
        <v>384</v>
      </c>
      <c r="Y107" s="36">
        <f t="shared" si="40"/>
        <v>577</v>
      </c>
      <c r="Z107" s="44">
        <v>599</v>
      </c>
      <c r="AA107">
        <v>542</v>
      </c>
      <c r="AB107" s="36">
        <f t="shared" si="41"/>
        <v>1141</v>
      </c>
      <c r="AC107" s="44">
        <v>73</v>
      </c>
      <c r="AD107">
        <v>134</v>
      </c>
      <c r="AE107" s="36">
        <f t="shared" si="42"/>
        <v>207</v>
      </c>
      <c r="AF107" s="44">
        <v>444</v>
      </c>
      <c r="AG107">
        <v>669</v>
      </c>
      <c r="AH107" s="36">
        <f t="shared" si="43"/>
        <v>1113</v>
      </c>
    </row>
    <row r="108" spans="1:34" x14ac:dyDescent="0.3">
      <c r="A108" s="44" t="s">
        <v>191</v>
      </c>
      <c r="B108" s="44">
        <v>200</v>
      </c>
      <c r="C108">
        <v>302</v>
      </c>
      <c r="D108" s="36">
        <f t="shared" si="33"/>
        <v>502</v>
      </c>
      <c r="E108" s="44">
        <v>91</v>
      </c>
      <c r="F108">
        <v>159</v>
      </c>
      <c r="G108" s="36">
        <f t="shared" si="34"/>
        <v>250</v>
      </c>
      <c r="H108" s="44">
        <v>749</v>
      </c>
      <c r="I108">
        <v>353</v>
      </c>
      <c r="J108" s="36">
        <f t="shared" si="35"/>
        <v>1102</v>
      </c>
      <c r="K108" s="44">
        <v>852</v>
      </c>
      <c r="L108">
        <v>703</v>
      </c>
      <c r="M108" s="36">
        <f t="shared" si="36"/>
        <v>1555</v>
      </c>
      <c r="N108" s="44">
        <v>415</v>
      </c>
      <c r="O108">
        <v>223</v>
      </c>
      <c r="P108" s="36">
        <f t="shared" si="37"/>
        <v>638</v>
      </c>
      <c r="Q108" s="44">
        <v>130</v>
      </c>
      <c r="R108">
        <v>54</v>
      </c>
      <c r="S108" s="36">
        <f t="shared" si="38"/>
        <v>184</v>
      </c>
      <c r="T108" s="44">
        <v>157</v>
      </c>
      <c r="U108">
        <v>123</v>
      </c>
      <c r="V108" s="36">
        <f t="shared" si="39"/>
        <v>280</v>
      </c>
      <c r="W108" s="44">
        <v>341</v>
      </c>
      <c r="X108">
        <v>434</v>
      </c>
      <c r="Y108" s="36">
        <f t="shared" si="40"/>
        <v>775</v>
      </c>
      <c r="Z108" s="44">
        <v>474</v>
      </c>
      <c r="AA108">
        <v>539</v>
      </c>
      <c r="AB108" s="36">
        <f t="shared" si="41"/>
        <v>1013</v>
      </c>
      <c r="AC108" s="44">
        <v>106</v>
      </c>
      <c r="AD108">
        <v>30</v>
      </c>
      <c r="AE108" s="36">
        <f t="shared" si="42"/>
        <v>136</v>
      </c>
      <c r="AF108" s="44">
        <v>449</v>
      </c>
      <c r="AG108">
        <v>509</v>
      </c>
      <c r="AH108" s="36">
        <f t="shared" si="43"/>
        <v>958</v>
      </c>
    </row>
    <row r="109" spans="1:34" x14ac:dyDescent="0.3">
      <c r="A109" s="44" t="s">
        <v>192</v>
      </c>
      <c r="B109" s="44">
        <v>819</v>
      </c>
      <c r="C109">
        <v>862</v>
      </c>
      <c r="D109" s="36">
        <f t="shared" si="33"/>
        <v>1681</v>
      </c>
      <c r="E109" s="44">
        <v>609</v>
      </c>
      <c r="F109">
        <v>696</v>
      </c>
      <c r="G109" s="36">
        <f t="shared" si="34"/>
        <v>1305</v>
      </c>
      <c r="H109" s="44">
        <v>859</v>
      </c>
      <c r="I109">
        <v>1058</v>
      </c>
      <c r="J109" s="36">
        <f t="shared" si="35"/>
        <v>1917</v>
      </c>
      <c r="K109" s="44">
        <v>2024</v>
      </c>
      <c r="L109">
        <v>2113</v>
      </c>
      <c r="M109" s="36">
        <f t="shared" si="36"/>
        <v>4137</v>
      </c>
      <c r="N109" s="44">
        <v>1195</v>
      </c>
      <c r="O109">
        <v>965</v>
      </c>
      <c r="P109" s="36">
        <f t="shared" si="37"/>
        <v>2160</v>
      </c>
      <c r="Q109" s="44">
        <v>603</v>
      </c>
      <c r="R109">
        <v>502</v>
      </c>
      <c r="S109" s="36">
        <f t="shared" si="38"/>
        <v>1105</v>
      </c>
      <c r="T109" s="44">
        <v>605</v>
      </c>
      <c r="U109">
        <v>694</v>
      </c>
      <c r="V109" s="36">
        <f t="shared" si="39"/>
        <v>1299</v>
      </c>
      <c r="W109" s="44">
        <v>1008</v>
      </c>
      <c r="X109">
        <v>1027</v>
      </c>
      <c r="Y109" s="36">
        <f t="shared" si="40"/>
        <v>2035</v>
      </c>
      <c r="Z109" s="44">
        <v>1372</v>
      </c>
      <c r="AA109">
        <v>1487</v>
      </c>
      <c r="AB109" s="36">
        <f t="shared" si="41"/>
        <v>2859</v>
      </c>
      <c r="AC109" s="44">
        <v>366</v>
      </c>
      <c r="AD109">
        <v>600</v>
      </c>
      <c r="AE109" s="36">
        <f t="shared" si="42"/>
        <v>966</v>
      </c>
      <c r="AF109" s="44">
        <v>1154</v>
      </c>
      <c r="AG109">
        <v>1015</v>
      </c>
      <c r="AH109" s="36">
        <f t="shared" si="43"/>
        <v>2169</v>
      </c>
    </row>
    <row r="110" spans="1:34" x14ac:dyDescent="0.3">
      <c r="A110" s="44" t="s">
        <v>193</v>
      </c>
      <c r="B110" s="44">
        <v>2734</v>
      </c>
      <c r="C110">
        <v>2474</v>
      </c>
      <c r="D110" s="36">
        <f t="shared" si="33"/>
        <v>5208</v>
      </c>
      <c r="E110" s="44">
        <v>1477</v>
      </c>
      <c r="F110">
        <v>1333</v>
      </c>
      <c r="G110" s="36">
        <f t="shared" si="34"/>
        <v>2810</v>
      </c>
      <c r="H110" s="44">
        <v>1837</v>
      </c>
      <c r="I110">
        <v>2966</v>
      </c>
      <c r="J110" s="36">
        <f t="shared" si="35"/>
        <v>4803</v>
      </c>
      <c r="K110" s="44">
        <v>4175</v>
      </c>
      <c r="L110">
        <v>4500</v>
      </c>
      <c r="M110" s="36">
        <f t="shared" si="36"/>
        <v>8675</v>
      </c>
      <c r="N110" s="44">
        <v>1767</v>
      </c>
      <c r="O110">
        <v>1948</v>
      </c>
      <c r="P110" s="36">
        <f t="shared" si="37"/>
        <v>3715</v>
      </c>
      <c r="Q110" s="44">
        <v>1307</v>
      </c>
      <c r="R110">
        <v>1130</v>
      </c>
      <c r="S110" s="36">
        <f t="shared" si="38"/>
        <v>2437</v>
      </c>
      <c r="T110" s="44">
        <v>1225</v>
      </c>
      <c r="U110">
        <v>944</v>
      </c>
      <c r="V110" s="36">
        <f t="shared" si="39"/>
        <v>2169</v>
      </c>
      <c r="W110" s="44">
        <v>1583</v>
      </c>
      <c r="X110">
        <v>1349</v>
      </c>
      <c r="Y110" s="36">
        <f t="shared" si="40"/>
        <v>2932</v>
      </c>
      <c r="Z110" s="44">
        <v>2643</v>
      </c>
      <c r="AA110">
        <v>2726</v>
      </c>
      <c r="AB110" s="36">
        <f t="shared" si="41"/>
        <v>5369</v>
      </c>
      <c r="AC110" s="44">
        <v>1143</v>
      </c>
      <c r="AD110">
        <v>1221</v>
      </c>
      <c r="AE110" s="36">
        <f t="shared" si="42"/>
        <v>2364</v>
      </c>
      <c r="AF110" s="44">
        <v>1467</v>
      </c>
      <c r="AG110">
        <v>1140</v>
      </c>
      <c r="AH110" s="36">
        <f t="shared" si="43"/>
        <v>2607</v>
      </c>
    </row>
    <row r="111" spans="1:34" x14ac:dyDescent="0.3">
      <c r="A111" s="44" t="s">
        <v>194</v>
      </c>
      <c r="B111" s="44">
        <v>2694</v>
      </c>
      <c r="C111">
        <v>1914</v>
      </c>
      <c r="D111" s="36">
        <f t="shared" si="33"/>
        <v>4608</v>
      </c>
      <c r="E111" s="44">
        <v>1249</v>
      </c>
      <c r="F111">
        <v>1591</v>
      </c>
      <c r="G111" s="36">
        <f t="shared" si="34"/>
        <v>2840</v>
      </c>
      <c r="H111" s="44">
        <v>2173</v>
      </c>
      <c r="I111">
        <v>1675</v>
      </c>
      <c r="J111" s="36">
        <f t="shared" si="35"/>
        <v>3848</v>
      </c>
      <c r="K111" s="44">
        <v>3726</v>
      </c>
      <c r="L111">
        <v>4298</v>
      </c>
      <c r="M111" s="36">
        <f t="shared" si="36"/>
        <v>8024</v>
      </c>
      <c r="N111" s="44">
        <v>1702</v>
      </c>
      <c r="O111">
        <v>1400</v>
      </c>
      <c r="P111" s="36">
        <f t="shared" si="37"/>
        <v>3102</v>
      </c>
      <c r="Q111" s="44">
        <v>980</v>
      </c>
      <c r="R111">
        <v>1509</v>
      </c>
      <c r="S111" s="36">
        <f t="shared" si="38"/>
        <v>2489</v>
      </c>
      <c r="T111" s="44">
        <v>1152</v>
      </c>
      <c r="U111">
        <v>1059</v>
      </c>
      <c r="V111" s="36">
        <f t="shared" si="39"/>
        <v>2211</v>
      </c>
      <c r="W111" s="44">
        <v>1282</v>
      </c>
      <c r="X111">
        <v>1216</v>
      </c>
      <c r="Y111" s="36">
        <f t="shared" si="40"/>
        <v>2498</v>
      </c>
      <c r="Z111" s="44">
        <v>3094</v>
      </c>
      <c r="AA111">
        <v>2544</v>
      </c>
      <c r="AB111" s="36">
        <f t="shared" si="41"/>
        <v>5638</v>
      </c>
      <c r="AC111" s="44">
        <v>996</v>
      </c>
      <c r="AD111">
        <v>1330</v>
      </c>
      <c r="AE111" s="36">
        <f t="shared" si="42"/>
        <v>2326</v>
      </c>
      <c r="AF111" s="44">
        <v>1125</v>
      </c>
      <c r="AG111">
        <v>1367</v>
      </c>
      <c r="AH111" s="36">
        <f t="shared" si="43"/>
        <v>2492</v>
      </c>
    </row>
    <row r="112" spans="1:34" x14ac:dyDescent="0.3">
      <c r="A112" s="44" t="s">
        <v>195</v>
      </c>
      <c r="B112" s="44">
        <v>1745</v>
      </c>
      <c r="C112">
        <v>1861</v>
      </c>
      <c r="D112" s="36">
        <f t="shared" si="33"/>
        <v>3606</v>
      </c>
      <c r="E112" s="44">
        <v>1067</v>
      </c>
      <c r="F112">
        <v>1276</v>
      </c>
      <c r="G112" s="36">
        <f t="shared" si="34"/>
        <v>2343</v>
      </c>
      <c r="H112" s="44">
        <v>1350</v>
      </c>
      <c r="I112">
        <v>1633</v>
      </c>
      <c r="J112" s="36">
        <f t="shared" si="35"/>
        <v>2983</v>
      </c>
      <c r="K112" s="44">
        <v>3323</v>
      </c>
      <c r="L112">
        <v>2974</v>
      </c>
      <c r="M112" s="36">
        <f t="shared" si="36"/>
        <v>6297</v>
      </c>
      <c r="N112" s="44">
        <v>1552</v>
      </c>
      <c r="O112">
        <v>1608</v>
      </c>
      <c r="P112" s="36">
        <f t="shared" si="37"/>
        <v>3160</v>
      </c>
      <c r="Q112" s="44">
        <v>1232</v>
      </c>
      <c r="R112">
        <v>850</v>
      </c>
      <c r="S112" s="36">
        <f t="shared" si="38"/>
        <v>2082</v>
      </c>
      <c r="T112" s="44">
        <v>1315</v>
      </c>
      <c r="U112">
        <v>1449</v>
      </c>
      <c r="V112" s="36">
        <f t="shared" si="39"/>
        <v>2764</v>
      </c>
      <c r="W112" s="44">
        <v>979</v>
      </c>
      <c r="X112">
        <v>1270</v>
      </c>
      <c r="Y112" s="36">
        <f t="shared" si="40"/>
        <v>2249</v>
      </c>
      <c r="Z112" s="44">
        <v>1959</v>
      </c>
      <c r="AA112">
        <v>2094</v>
      </c>
      <c r="AB112" s="36">
        <f t="shared" si="41"/>
        <v>4053</v>
      </c>
      <c r="AC112" s="44">
        <v>620</v>
      </c>
      <c r="AD112">
        <v>664</v>
      </c>
      <c r="AE112" s="36">
        <f t="shared" si="42"/>
        <v>1284</v>
      </c>
      <c r="AF112" s="44">
        <v>1179</v>
      </c>
      <c r="AG112">
        <v>1373</v>
      </c>
      <c r="AH112" s="36">
        <f t="shared" si="43"/>
        <v>2552</v>
      </c>
    </row>
    <row r="113" spans="1:34" x14ac:dyDescent="0.3">
      <c r="A113" s="44" t="s">
        <v>196</v>
      </c>
      <c r="B113" s="44">
        <v>1607</v>
      </c>
      <c r="C113">
        <v>1432</v>
      </c>
      <c r="D113" s="36">
        <f t="shared" si="33"/>
        <v>3039</v>
      </c>
      <c r="E113" s="44">
        <v>1242</v>
      </c>
      <c r="F113">
        <v>890</v>
      </c>
      <c r="G113" s="36">
        <f t="shared" si="34"/>
        <v>2132</v>
      </c>
      <c r="H113" s="44">
        <v>1330</v>
      </c>
      <c r="I113">
        <v>1333</v>
      </c>
      <c r="J113" s="36">
        <f t="shared" si="35"/>
        <v>2663</v>
      </c>
      <c r="K113" s="44">
        <v>2984</v>
      </c>
      <c r="L113">
        <v>3053</v>
      </c>
      <c r="M113" s="36">
        <f t="shared" si="36"/>
        <v>6037</v>
      </c>
      <c r="N113" s="44">
        <v>1219</v>
      </c>
      <c r="O113">
        <v>1284</v>
      </c>
      <c r="P113" s="36">
        <f t="shared" si="37"/>
        <v>2503</v>
      </c>
      <c r="Q113" s="44">
        <v>836</v>
      </c>
      <c r="R113">
        <v>1286</v>
      </c>
      <c r="S113" s="36">
        <f t="shared" si="38"/>
        <v>2122</v>
      </c>
      <c r="T113" s="44">
        <v>1312</v>
      </c>
      <c r="U113">
        <v>1647</v>
      </c>
      <c r="V113" s="36">
        <f t="shared" si="39"/>
        <v>2959</v>
      </c>
      <c r="W113" s="44">
        <v>1336</v>
      </c>
      <c r="X113">
        <v>1114</v>
      </c>
      <c r="Y113" s="36">
        <f t="shared" si="40"/>
        <v>2450</v>
      </c>
      <c r="Z113" s="44">
        <v>1794</v>
      </c>
      <c r="AA113">
        <v>1666</v>
      </c>
      <c r="AB113" s="36">
        <f t="shared" si="41"/>
        <v>3460</v>
      </c>
      <c r="AC113" s="44">
        <v>718</v>
      </c>
      <c r="AD113">
        <v>857</v>
      </c>
      <c r="AE113" s="36">
        <f t="shared" si="42"/>
        <v>1575</v>
      </c>
      <c r="AF113" s="44">
        <v>1226</v>
      </c>
      <c r="AG113">
        <v>1385</v>
      </c>
      <c r="AH113" s="36">
        <f t="shared" si="43"/>
        <v>2611</v>
      </c>
    </row>
    <row r="114" spans="1:34" x14ac:dyDescent="0.3">
      <c r="A114" s="44" t="s">
        <v>197</v>
      </c>
      <c r="B114" s="44">
        <v>1726</v>
      </c>
      <c r="C114">
        <v>1097</v>
      </c>
      <c r="D114" s="36">
        <f t="shared" si="33"/>
        <v>2823</v>
      </c>
      <c r="E114" s="44">
        <v>1243</v>
      </c>
      <c r="F114">
        <v>1129</v>
      </c>
      <c r="G114" s="36">
        <f t="shared" si="34"/>
        <v>2372</v>
      </c>
      <c r="H114" s="44">
        <v>1264</v>
      </c>
      <c r="I114">
        <v>1443</v>
      </c>
      <c r="J114" s="36">
        <f t="shared" si="35"/>
        <v>2707</v>
      </c>
      <c r="K114" s="44">
        <v>2853</v>
      </c>
      <c r="L114">
        <v>3354</v>
      </c>
      <c r="M114" s="36">
        <f t="shared" si="36"/>
        <v>6207</v>
      </c>
      <c r="N114" s="44">
        <v>1305</v>
      </c>
      <c r="O114">
        <v>1348</v>
      </c>
      <c r="P114" s="36">
        <f t="shared" si="37"/>
        <v>2653</v>
      </c>
      <c r="Q114" s="44">
        <v>1271</v>
      </c>
      <c r="R114">
        <v>1292</v>
      </c>
      <c r="S114" s="36">
        <f t="shared" si="38"/>
        <v>2563</v>
      </c>
      <c r="T114" s="44">
        <v>1325</v>
      </c>
      <c r="U114">
        <v>1602</v>
      </c>
      <c r="V114" s="36">
        <f t="shared" si="39"/>
        <v>2927</v>
      </c>
      <c r="W114" s="44">
        <v>908</v>
      </c>
      <c r="X114">
        <v>1121</v>
      </c>
      <c r="Y114" s="36">
        <f t="shared" si="40"/>
        <v>2029</v>
      </c>
      <c r="Z114" s="44">
        <v>1615</v>
      </c>
      <c r="AA114">
        <v>1605</v>
      </c>
      <c r="AB114" s="36">
        <f t="shared" si="41"/>
        <v>3220</v>
      </c>
      <c r="AC114" s="44">
        <v>617</v>
      </c>
      <c r="AD114">
        <v>453</v>
      </c>
      <c r="AE114" s="36">
        <f t="shared" si="42"/>
        <v>1070</v>
      </c>
      <c r="AF114" s="44">
        <v>1618</v>
      </c>
      <c r="AG114">
        <v>1581</v>
      </c>
      <c r="AH114" s="36">
        <f t="shared" si="43"/>
        <v>3199</v>
      </c>
    </row>
    <row r="115" spans="1:34" x14ac:dyDescent="0.3">
      <c r="A115" s="44" t="s">
        <v>198</v>
      </c>
      <c r="B115" s="44">
        <v>1419</v>
      </c>
      <c r="C115">
        <v>1222</v>
      </c>
      <c r="D115" s="36">
        <f t="shared" si="33"/>
        <v>2641</v>
      </c>
      <c r="E115" s="44">
        <v>1271</v>
      </c>
      <c r="F115">
        <v>1258</v>
      </c>
      <c r="G115" s="36">
        <f t="shared" si="34"/>
        <v>2529</v>
      </c>
      <c r="H115" s="44">
        <v>1241</v>
      </c>
      <c r="I115">
        <v>1296</v>
      </c>
      <c r="J115" s="36">
        <f t="shared" si="35"/>
        <v>2537</v>
      </c>
      <c r="K115" s="44">
        <v>2280</v>
      </c>
      <c r="L115">
        <v>2976</v>
      </c>
      <c r="M115" s="36">
        <f t="shared" si="36"/>
        <v>5256</v>
      </c>
      <c r="N115" s="44">
        <v>1503</v>
      </c>
      <c r="O115">
        <v>1825</v>
      </c>
      <c r="P115" s="36">
        <f t="shared" si="37"/>
        <v>3328</v>
      </c>
      <c r="Q115" s="44">
        <v>1277</v>
      </c>
      <c r="R115">
        <v>1053</v>
      </c>
      <c r="S115" s="36">
        <f t="shared" si="38"/>
        <v>2330</v>
      </c>
      <c r="T115" s="44">
        <v>1664</v>
      </c>
      <c r="U115">
        <v>1502</v>
      </c>
      <c r="V115" s="36">
        <f t="shared" si="39"/>
        <v>3166</v>
      </c>
      <c r="W115" s="44">
        <v>1330</v>
      </c>
      <c r="X115">
        <v>1324</v>
      </c>
      <c r="Y115" s="36">
        <f t="shared" si="40"/>
        <v>2654</v>
      </c>
      <c r="Z115" s="44">
        <v>1497</v>
      </c>
      <c r="AA115">
        <v>1438</v>
      </c>
      <c r="AB115" s="36">
        <f t="shared" si="41"/>
        <v>2935</v>
      </c>
      <c r="AC115" s="44">
        <v>706</v>
      </c>
      <c r="AD115">
        <v>1050</v>
      </c>
      <c r="AE115" s="36">
        <f t="shared" si="42"/>
        <v>1756</v>
      </c>
      <c r="AF115" s="44">
        <v>1271</v>
      </c>
      <c r="AG115">
        <v>1265</v>
      </c>
      <c r="AH115" s="36">
        <f t="shared" si="43"/>
        <v>2536</v>
      </c>
    </row>
    <row r="116" spans="1:34" x14ac:dyDescent="0.3">
      <c r="A116" s="44" t="s">
        <v>199</v>
      </c>
      <c r="B116" s="44">
        <v>1252</v>
      </c>
      <c r="C116">
        <v>1124</v>
      </c>
      <c r="D116" s="36">
        <f t="shared" si="33"/>
        <v>2376</v>
      </c>
      <c r="E116" s="44">
        <v>1386</v>
      </c>
      <c r="F116">
        <v>1372</v>
      </c>
      <c r="G116" s="36">
        <f t="shared" si="34"/>
        <v>2758</v>
      </c>
      <c r="H116" s="44">
        <v>1040</v>
      </c>
      <c r="I116">
        <v>937</v>
      </c>
      <c r="J116" s="36">
        <f t="shared" si="35"/>
        <v>1977</v>
      </c>
      <c r="K116" s="44">
        <v>2311</v>
      </c>
      <c r="L116">
        <v>2681</v>
      </c>
      <c r="M116" s="36">
        <f t="shared" si="36"/>
        <v>4992</v>
      </c>
      <c r="N116" s="44">
        <v>842</v>
      </c>
      <c r="O116">
        <v>1068</v>
      </c>
      <c r="P116" s="36">
        <f t="shared" si="37"/>
        <v>1910</v>
      </c>
      <c r="Q116" s="44">
        <v>978</v>
      </c>
      <c r="R116">
        <v>1412</v>
      </c>
      <c r="S116" s="36">
        <f t="shared" si="38"/>
        <v>2390</v>
      </c>
      <c r="T116" s="44">
        <v>1402</v>
      </c>
      <c r="U116">
        <v>1465</v>
      </c>
      <c r="V116" s="36">
        <f t="shared" si="39"/>
        <v>2867</v>
      </c>
      <c r="W116" s="44">
        <v>1094</v>
      </c>
      <c r="X116">
        <v>1141</v>
      </c>
      <c r="Y116" s="36">
        <f t="shared" si="40"/>
        <v>2235</v>
      </c>
      <c r="Z116" s="44">
        <v>1578</v>
      </c>
      <c r="AA116">
        <v>1434</v>
      </c>
      <c r="AB116" s="36">
        <f t="shared" si="41"/>
        <v>3012</v>
      </c>
      <c r="AC116" s="44">
        <v>664</v>
      </c>
      <c r="AD116">
        <v>588</v>
      </c>
      <c r="AE116" s="36">
        <f t="shared" si="42"/>
        <v>1252</v>
      </c>
      <c r="AF116" s="44">
        <v>1354</v>
      </c>
      <c r="AG116">
        <v>1248</v>
      </c>
      <c r="AH116" s="36">
        <f t="shared" si="43"/>
        <v>2602</v>
      </c>
    </row>
    <row r="117" spans="1:34" x14ac:dyDescent="0.3">
      <c r="A117" s="44" t="s">
        <v>200</v>
      </c>
      <c r="B117" s="44">
        <v>489</v>
      </c>
      <c r="C117">
        <v>506</v>
      </c>
      <c r="D117" s="36">
        <f t="shared" si="33"/>
        <v>995</v>
      </c>
      <c r="E117" s="44">
        <v>406</v>
      </c>
      <c r="F117">
        <v>452</v>
      </c>
      <c r="G117" s="36">
        <f t="shared" si="34"/>
        <v>858</v>
      </c>
      <c r="H117" s="44">
        <v>206</v>
      </c>
      <c r="I117">
        <v>329</v>
      </c>
      <c r="J117" s="36">
        <f t="shared" si="35"/>
        <v>535</v>
      </c>
      <c r="K117" s="44">
        <v>944</v>
      </c>
      <c r="L117">
        <v>1150</v>
      </c>
      <c r="M117" s="36">
        <f t="shared" si="36"/>
        <v>2094</v>
      </c>
      <c r="N117" s="44">
        <v>491</v>
      </c>
      <c r="O117">
        <v>376</v>
      </c>
      <c r="P117" s="36">
        <f t="shared" si="37"/>
        <v>867</v>
      </c>
      <c r="Q117" s="44">
        <v>489</v>
      </c>
      <c r="R117">
        <v>611</v>
      </c>
      <c r="S117" s="36">
        <f t="shared" si="38"/>
        <v>1100</v>
      </c>
      <c r="T117" s="44">
        <v>636</v>
      </c>
      <c r="U117">
        <v>702</v>
      </c>
      <c r="V117" s="36">
        <f t="shared" si="39"/>
        <v>1338</v>
      </c>
      <c r="W117" s="44">
        <v>525</v>
      </c>
      <c r="X117">
        <v>417</v>
      </c>
      <c r="Y117" s="36">
        <f t="shared" si="40"/>
        <v>942</v>
      </c>
      <c r="Z117" s="44">
        <v>457</v>
      </c>
      <c r="AA117">
        <v>647</v>
      </c>
      <c r="AB117" s="36">
        <f t="shared" si="41"/>
        <v>1104</v>
      </c>
      <c r="AC117" s="44">
        <v>68</v>
      </c>
      <c r="AD117">
        <v>141</v>
      </c>
      <c r="AE117" s="36">
        <f t="shared" si="42"/>
        <v>209</v>
      </c>
      <c r="AF117" s="44">
        <v>603</v>
      </c>
      <c r="AG117">
        <v>539</v>
      </c>
      <c r="AH117" s="36">
        <f t="shared" si="43"/>
        <v>1142</v>
      </c>
    </row>
    <row r="118" spans="1:34" x14ac:dyDescent="0.3">
      <c r="A118" s="44" t="s">
        <v>201</v>
      </c>
      <c r="B118" s="44">
        <v>832</v>
      </c>
      <c r="C118">
        <v>428</v>
      </c>
      <c r="D118" s="36">
        <f t="shared" si="33"/>
        <v>1260</v>
      </c>
      <c r="E118" s="44">
        <v>603</v>
      </c>
      <c r="F118">
        <v>639</v>
      </c>
      <c r="G118" s="36">
        <f t="shared" si="34"/>
        <v>1242</v>
      </c>
      <c r="H118" s="44">
        <v>437</v>
      </c>
      <c r="I118">
        <v>399</v>
      </c>
      <c r="J118" s="36">
        <f t="shared" si="35"/>
        <v>836</v>
      </c>
      <c r="K118" s="44">
        <v>1361</v>
      </c>
      <c r="L118">
        <v>1431</v>
      </c>
      <c r="M118" s="36">
        <f t="shared" si="36"/>
        <v>2792</v>
      </c>
      <c r="N118" s="44">
        <v>485</v>
      </c>
      <c r="O118">
        <v>821</v>
      </c>
      <c r="P118" s="36">
        <f t="shared" si="37"/>
        <v>1306</v>
      </c>
      <c r="Q118" s="44">
        <v>476</v>
      </c>
      <c r="R118">
        <v>510</v>
      </c>
      <c r="S118" s="36">
        <f t="shared" si="38"/>
        <v>986</v>
      </c>
      <c r="T118" s="44">
        <v>704</v>
      </c>
      <c r="U118">
        <v>940</v>
      </c>
      <c r="V118" s="36">
        <f t="shared" si="39"/>
        <v>1644</v>
      </c>
      <c r="W118" s="44">
        <v>599</v>
      </c>
      <c r="X118">
        <v>747</v>
      </c>
      <c r="Y118" s="36">
        <f t="shared" si="40"/>
        <v>1346</v>
      </c>
      <c r="Z118" s="44">
        <v>626</v>
      </c>
      <c r="AA118">
        <v>745</v>
      </c>
      <c r="AB118" s="36">
        <f t="shared" si="41"/>
        <v>1371</v>
      </c>
      <c r="AC118" s="44">
        <v>383</v>
      </c>
      <c r="AD118">
        <v>338</v>
      </c>
      <c r="AE118" s="36">
        <f t="shared" si="42"/>
        <v>721</v>
      </c>
      <c r="AF118" s="44">
        <v>617</v>
      </c>
      <c r="AG118">
        <v>788</v>
      </c>
      <c r="AH118" s="36">
        <f t="shared" si="43"/>
        <v>1405</v>
      </c>
    </row>
    <row r="119" spans="1:34" x14ac:dyDescent="0.3">
      <c r="A119" s="44" t="s">
        <v>202</v>
      </c>
      <c r="B119" s="44">
        <v>426</v>
      </c>
      <c r="C119">
        <v>272</v>
      </c>
      <c r="D119" s="36">
        <f t="shared" si="33"/>
        <v>698</v>
      </c>
      <c r="E119" s="44">
        <v>577</v>
      </c>
      <c r="F119">
        <v>569</v>
      </c>
      <c r="G119" s="36">
        <f t="shared" si="34"/>
        <v>1146</v>
      </c>
      <c r="H119" s="44">
        <v>231</v>
      </c>
      <c r="I119">
        <v>281</v>
      </c>
      <c r="J119" s="36">
        <f t="shared" si="35"/>
        <v>512</v>
      </c>
      <c r="K119" s="44">
        <v>689</v>
      </c>
      <c r="L119">
        <v>790</v>
      </c>
      <c r="M119" s="36">
        <f t="shared" si="36"/>
        <v>1479</v>
      </c>
      <c r="N119" s="44">
        <v>232</v>
      </c>
      <c r="O119">
        <v>261</v>
      </c>
      <c r="P119" s="36">
        <f t="shared" si="37"/>
        <v>493</v>
      </c>
      <c r="Q119" s="44">
        <v>481</v>
      </c>
      <c r="R119">
        <v>365</v>
      </c>
      <c r="S119" s="36">
        <f t="shared" si="38"/>
        <v>846</v>
      </c>
      <c r="T119" s="44">
        <v>552</v>
      </c>
      <c r="U119">
        <v>370</v>
      </c>
      <c r="V119" s="36">
        <f t="shared" si="39"/>
        <v>922</v>
      </c>
      <c r="W119" s="44">
        <v>286</v>
      </c>
      <c r="X119">
        <v>275</v>
      </c>
      <c r="Y119" s="36">
        <f t="shared" si="40"/>
        <v>561</v>
      </c>
      <c r="Z119" s="44">
        <v>367</v>
      </c>
      <c r="AA119">
        <v>430</v>
      </c>
      <c r="AB119" s="36">
        <f t="shared" si="41"/>
        <v>797</v>
      </c>
      <c r="AC119" s="44">
        <v>217</v>
      </c>
      <c r="AD119">
        <v>165</v>
      </c>
      <c r="AE119" s="36">
        <f t="shared" si="42"/>
        <v>382</v>
      </c>
      <c r="AF119" s="44">
        <v>388</v>
      </c>
      <c r="AG119">
        <v>382</v>
      </c>
      <c r="AH119" s="36">
        <f t="shared" si="43"/>
        <v>770</v>
      </c>
    </row>
    <row r="120" spans="1:34" x14ac:dyDescent="0.3">
      <c r="A120" s="44" t="s">
        <v>203</v>
      </c>
      <c r="B120" s="44">
        <v>353</v>
      </c>
      <c r="C120">
        <v>349</v>
      </c>
      <c r="D120" s="36">
        <f t="shared" si="33"/>
        <v>702</v>
      </c>
      <c r="E120" s="44">
        <v>508</v>
      </c>
      <c r="F120">
        <v>634</v>
      </c>
      <c r="G120" s="36">
        <f t="shared" si="34"/>
        <v>1142</v>
      </c>
      <c r="H120" s="44">
        <v>413</v>
      </c>
      <c r="I120">
        <v>340</v>
      </c>
      <c r="J120" s="36">
        <f t="shared" si="35"/>
        <v>753</v>
      </c>
      <c r="K120" s="44">
        <v>923</v>
      </c>
      <c r="L120">
        <v>997</v>
      </c>
      <c r="M120" s="36">
        <f t="shared" si="36"/>
        <v>1920</v>
      </c>
      <c r="N120" s="44">
        <v>381</v>
      </c>
      <c r="O120">
        <v>493</v>
      </c>
      <c r="P120" s="36">
        <f t="shared" si="37"/>
        <v>874</v>
      </c>
      <c r="Q120" s="44">
        <v>620</v>
      </c>
      <c r="R120">
        <v>566</v>
      </c>
      <c r="S120" s="36">
        <f t="shared" si="38"/>
        <v>1186</v>
      </c>
      <c r="T120" s="44">
        <v>547</v>
      </c>
      <c r="U120">
        <v>637</v>
      </c>
      <c r="V120" s="36">
        <f t="shared" si="39"/>
        <v>1184</v>
      </c>
      <c r="W120" s="44">
        <v>331</v>
      </c>
      <c r="X120">
        <v>466</v>
      </c>
      <c r="Y120" s="36">
        <f t="shared" si="40"/>
        <v>797</v>
      </c>
      <c r="Z120" s="44">
        <v>640</v>
      </c>
      <c r="AA120">
        <v>430</v>
      </c>
      <c r="AB120" s="36">
        <f t="shared" si="41"/>
        <v>1070</v>
      </c>
      <c r="AC120" s="44">
        <v>291</v>
      </c>
      <c r="AD120">
        <v>318</v>
      </c>
      <c r="AE120" s="36">
        <f t="shared" si="42"/>
        <v>609</v>
      </c>
      <c r="AF120" s="44">
        <v>603</v>
      </c>
      <c r="AG120">
        <v>618</v>
      </c>
      <c r="AH120" s="36">
        <f t="shared" si="43"/>
        <v>1221</v>
      </c>
    </row>
    <row r="121" spans="1:34" x14ac:dyDescent="0.3">
      <c r="A121" s="44" t="s">
        <v>204</v>
      </c>
      <c r="B121" s="44">
        <v>359</v>
      </c>
      <c r="C121">
        <v>448</v>
      </c>
      <c r="D121" s="36">
        <f t="shared" si="33"/>
        <v>807</v>
      </c>
      <c r="E121" s="44">
        <v>828</v>
      </c>
      <c r="F121">
        <v>813</v>
      </c>
      <c r="G121" s="36">
        <f t="shared" si="34"/>
        <v>1641</v>
      </c>
      <c r="H121" s="44">
        <v>328</v>
      </c>
      <c r="I121">
        <v>442</v>
      </c>
      <c r="J121" s="36">
        <f t="shared" si="35"/>
        <v>770</v>
      </c>
      <c r="K121" s="44">
        <v>1269</v>
      </c>
      <c r="L121">
        <v>1029</v>
      </c>
      <c r="M121" s="36">
        <f t="shared" si="36"/>
        <v>2298</v>
      </c>
      <c r="N121" s="44">
        <v>377</v>
      </c>
      <c r="O121">
        <v>480</v>
      </c>
      <c r="P121" s="36">
        <f t="shared" si="37"/>
        <v>857</v>
      </c>
      <c r="Q121" s="44">
        <v>683</v>
      </c>
      <c r="R121">
        <v>665</v>
      </c>
      <c r="S121" s="36">
        <f t="shared" si="38"/>
        <v>1348</v>
      </c>
      <c r="T121" s="44">
        <v>816</v>
      </c>
      <c r="U121">
        <v>947</v>
      </c>
      <c r="V121" s="36">
        <f t="shared" si="39"/>
        <v>1763</v>
      </c>
      <c r="W121" s="44">
        <v>469</v>
      </c>
      <c r="X121">
        <v>590</v>
      </c>
      <c r="Y121" s="36">
        <f t="shared" si="40"/>
        <v>1059</v>
      </c>
      <c r="Z121" s="44">
        <v>445</v>
      </c>
      <c r="AA121">
        <v>530</v>
      </c>
      <c r="AB121" s="36">
        <f t="shared" si="41"/>
        <v>975</v>
      </c>
      <c r="AC121" s="44">
        <v>221</v>
      </c>
      <c r="AD121">
        <v>271</v>
      </c>
      <c r="AE121" s="36">
        <f t="shared" si="42"/>
        <v>492</v>
      </c>
      <c r="AF121" s="44">
        <v>633</v>
      </c>
      <c r="AG121">
        <v>830</v>
      </c>
      <c r="AH121" s="36">
        <f t="shared" si="43"/>
        <v>1463</v>
      </c>
    </row>
    <row r="122" spans="1:34" x14ac:dyDescent="0.3">
      <c r="A122" s="44" t="s">
        <v>205</v>
      </c>
      <c r="B122" s="44">
        <v>223</v>
      </c>
      <c r="C122">
        <v>556</v>
      </c>
      <c r="D122" s="36">
        <f t="shared" si="33"/>
        <v>779</v>
      </c>
      <c r="E122" s="44">
        <v>586</v>
      </c>
      <c r="F122">
        <v>704</v>
      </c>
      <c r="G122" s="36">
        <f t="shared" si="34"/>
        <v>1290</v>
      </c>
      <c r="H122" s="44">
        <v>184</v>
      </c>
      <c r="I122">
        <v>285</v>
      </c>
      <c r="J122" s="36">
        <f t="shared" si="35"/>
        <v>469</v>
      </c>
      <c r="K122" s="44">
        <v>569</v>
      </c>
      <c r="L122">
        <v>620</v>
      </c>
      <c r="M122" s="36">
        <f t="shared" si="36"/>
        <v>1189</v>
      </c>
      <c r="N122" s="44">
        <v>282</v>
      </c>
      <c r="O122">
        <v>422</v>
      </c>
      <c r="P122" s="36">
        <f t="shared" si="37"/>
        <v>704</v>
      </c>
      <c r="Q122" s="44">
        <v>406</v>
      </c>
      <c r="R122">
        <v>282</v>
      </c>
      <c r="S122" s="36">
        <f t="shared" si="38"/>
        <v>688</v>
      </c>
      <c r="T122" s="44">
        <v>438</v>
      </c>
      <c r="U122">
        <v>421</v>
      </c>
      <c r="V122" s="36">
        <f t="shared" si="39"/>
        <v>859</v>
      </c>
      <c r="W122" s="44">
        <v>228</v>
      </c>
      <c r="X122">
        <v>488</v>
      </c>
      <c r="Y122" s="36">
        <f t="shared" si="40"/>
        <v>716</v>
      </c>
      <c r="Z122" s="44">
        <v>209</v>
      </c>
      <c r="AA122">
        <v>449</v>
      </c>
      <c r="AB122" s="36">
        <f t="shared" si="41"/>
        <v>658</v>
      </c>
      <c r="AC122" s="44">
        <v>76</v>
      </c>
      <c r="AD122">
        <v>196</v>
      </c>
      <c r="AE122" s="36">
        <f t="shared" si="42"/>
        <v>272</v>
      </c>
      <c r="AF122" s="44">
        <v>402</v>
      </c>
      <c r="AG122">
        <v>546</v>
      </c>
      <c r="AH122" s="36">
        <f t="shared" si="43"/>
        <v>948</v>
      </c>
    </row>
    <row r="123" spans="1:34" x14ac:dyDescent="0.3">
      <c r="A123" s="44" t="s">
        <v>206</v>
      </c>
      <c r="B123" s="44">
        <v>170</v>
      </c>
      <c r="C123">
        <v>235</v>
      </c>
      <c r="D123" s="36">
        <f t="shared" si="33"/>
        <v>405</v>
      </c>
      <c r="E123" s="44">
        <v>194</v>
      </c>
      <c r="F123">
        <v>295</v>
      </c>
      <c r="G123" s="36">
        <f t="shared" si="34"/>
        <v>489</v>
      </c>
      <c r="H123" s="44">
        <v>62</v>
      </c>
      <c r="I123">
        <v>120</v>
      </c>
      <c r="J123" s="36">
        <f t="shared" si="35"/>
        <v>182</v>
      </c>
      <c r="K123" s="44">
        <v>247</v>
      </c>
      <c r="L123">
        <v>493</v>
      </c>
      <c r="M123" s="36">
        <f t="shared" si="36"/>
        <v>740</v>
      </c>
      <c r="N123" s="44">
        <v>212</v>
      </c>
      <c r="O123">
        <v>304</v>
      </c>
      <c r="P123" s="36">
        <f t="shared" si="37"/>
        <v>516</v>
      </c>
      <c r="Q123" s="44">
        <v>106</v>
      </c>
      <c r="R123">
        <v>203</v>
      </c>
      <c r="S123" s="36">
        <f t="shared" si="38"/>
        <v>309</v>
      </c>
      <c r="T123" s="44">
        <v>316</v>
      </c>
      <c r="U123">
        <v>436</v>
      </c>
      <c r="V123" s="36">
        <f t="shared" si="39"/>
        <v>752</v>
      </c>
      <c r="W123" s="44">
        <v>215</v>
      </c>
      <c r="X123">
        <v>310</v>
      </c>
      <c r="Y123" s="36">
        <f t="shared" si="40"/>
        <v>525</v>
      </c>
      <c r="Z123" s="44">
        <v>205</v>
      </c>
      <c r="AA123">
        <v>259</v>
      </c>
      <c r="AB123" s="36">
        <f t="shared" si="41"/>
        <v>464</v>
      </c>
      <c r="AC123" s="44">
        <v>52</v>
      </c>
      <c r="AD123">
        <v>117</v>
      </c>
      <c r="AE123" s="36">
        <f t="shared" si="42"/>
        <v>169</v>
      </c>
      <c r="AF123" s="44">
        <v>308</v>
      </c>
      <c r="AG123">
        <v>333</v>
      </c>
      <c r="AH123" s="36">
        <f t="shared" si="43"/>
        <v>641</v>
      </c>
    </row>
    <row r="124" spans="1:34" x14ac:dyDescent="0.3">
      <c r="A124" s="44" t="s">
        <v>207</v>
      </c>
      <c r="B124" s="44">
        <v>128</v>
      </c>
      <c r="C124">
        <v>126</v>
      </c>
      <c r="D124" s="36">
        <f t="shared" si="33"/>
        <v>254</v>
      </c>
      <c r="E124" s="44">
        <v>341</v>
      </c>
      <c r="F124">
        <v>430</v>
      </c>
      <c r="G124" s="36">
        <f t="shared" si="34"/>
        <v>771</v>
      </c>
      <c r="H124" s="44">
        <v>156</v>
      </c>
      <c r="I124">
        <v>181</v>
      </c>
      <c r="J124" s="36">
        <f t="shared" si="35"/>
        <v>337</v>
      </c>
      <c r="K124" s="44">
        <v>324</v>
      </c>
      <c r="L124">
        <v>479</v>
      </c>
      <c r="M124" s="36">
        <f t="shared" si="36"/>
        <v>803</v>
      </c>
      <c r="N124" s="44">
        <v>129</v>
      </c>
      <c r="O124">
        <v>364</v>
      </c>
      <c r="P124" s="36">
        <f t="shared" si="37"/>
        <v>493</v>
      </c>
      <c r="Q124" s="44">
        <v>428</v>
      </c>
      <c r="R124">
        <v>558</v>
      </c>
      <c r="S124" s="36">
        <f t="shared" si="38"/>
        <v>986</v>
      </c>
      <c r="T124" s="44">
        <v>278</v>
      </c>
      <c r="U124">
        <v>532</v>
      </c>
      <c r="V124" s="36">
        <f t="shared" si="39"/>
        <v>810</v>
      </c>
      <c r="W124" s="44">
        <v>252</v>
      </c>
      <c r="X124">
        <v>427</v>
      </c>
      <c r="Y124" s="36">
        <f t="shared" si="40"/>
        <v>679</v>
      </c>
      <c r="Z124" s="44">
        <v>174</v>
      </c>
      <c r="AA124">
        <v>358</v>
      </c>
      <c r="AB124" s="36">
        <f t="shared" si="41"/>
        <v>532</v>
      </c>
      <c r="AC124" s="44">
        <v>221</v>
      </c>
      <c r="AD124">
        <v>336</v>
      </c>
      <c r="AE124" s="36">
        <f t="shared" si="42"/>
        <v>557</v>
      </c>
      <c r="AF124" s="44">
        <v>345</v>
      </c>
      <c r="AG124">
        <v>735</v>
      </c>
      <c r="AH124" s="36">
        <f t="shared" si="43"/>
        <v>1080</v>
      </c>
    </row>
    <row r="126" spans="1:34" s="70" customFormat="1" x14ac:dyDescent="0.3">
      <c r="A126" s="80" t="s">
        <v>255</v>
      </c>
      <c r="D126" s="80"/>
      <c r="G126" s="80"/>
      <c r="J126" s="80"/>
      <c r="M126" s="80"/>
      <c r="P126" s="80"/>
      <c r="S126" s="80"/>
      <c r="V126" s="80"/>
      <c r="Y126" s="80"/>
      <c r="AB126" s="80"/>
      <c r="AE126" s="80"/>
      <c r="AH126" s="80"/>
    </row>
    <row r="127" spans="1:34" s="70" customFormat="1" x14ac:dyDescent="0.3">
      <c r="A127" s="164"/>
      <c r="B127" s="174">
        <v>90802</v>
      </c>
      <c r="C127" s="174"/>
      <c r="D127" s="81"/>
      <c r="E127" s="174">
        <v>90803</v>
      </c>
      <c r="F127" s="174"/>
      <c r="G127" s="81"/>
      <c r="H127" s="174">
        <v>90804</v>
      </c>
      <c r="I127" s="174"/>
      <c r="J127" s="81"/>
      <c r="K127" s="174">
        <v>90805</v>
      </c>
      <c r="L127" s="174"/>
      <c r="M127" s="81"/>
      <c r="N127" s="174">
        <v>90806</v>
      </c>
      <c r="O127" s="174"/>
      <c r="P127" s="81"/>
      <c r="Q127" s="174">
        <v>90807</v>
      </c>
      <c r="R127" s="174"/>
      <c r="S127" s="81"/>
      <c r="T127" s="174">
        <v>90808</v>
      </c>
      <c r="U127" s="174"/>
      <c r="V127" s="81"/>
      <c r="W127" s="174">
        <v>90810</v>
      </c>
      <c r="X127" s="174"/>
      <c r="Y127" s="81"/>
      <c r="Z127" s="174">
        <v>90813</v>
      </c>
      <c r="AA127" s="174"/>
      <c r="AB127" s="81"/>
      <c r="AC127" s="174">
        <v>90814</v>
      </c>
      <c r="AD127" s="174"/>
      <c r="AE127" s="81"/>
      <c r="AF127" s="174">
        <v>90815</v>
      </c>
      <c r="AG127" s="174"/>
      <c r="AH127" s="81"/>
    </row>
    <row r="128" spans="1:34" s="70" customFormat="1" x14ac:dyDescent="0.3">
      <c r="A128" s="60"/>
      <c r="B128" s="163" t="s">
        <v>81</v>
      </c>
      <c r="C128" s="163" t="s">
        <v>82</v>
      </c>
      <c r="D128" s="82" t="s">
        <v>83</v>
      </c>
      <c r="E128" s="163" t="s">
        <v>81</v>
      </c>
      <c r="F128" s="163" t="s">
        <v>82</v>
      </c>
      <c r="G128" s="82" t="s">
        <v>83</v>
      </c>
      <c r="H128" s="163" t="s">
        <v>81</v>
      </c>
      <c r="I128" s="163" t="s">
        <v>82</v>
      </c>
      <c r="J128" s="82" t="s">
        <v>83</v>
      </c>
      <c r="K128" s="163" t="s">
        <v>81</v>
      </c>
      <c r="L128" s="163" t="s">
        <v>82</v>
      </c>
      <c r="M128" s="82" t="s">
        <v>83</v>
      </c>
      <c r="N128" s="163" t="s">
        <v>81</v>
      </c>
      <c r="O128" s="163" t="s">
        <v>82</v>
      </c>
      <c r="P128" s="82" t="s">
        <v>83</v>
      </c>
      <c r="Q128" s="163" t="s">
        <v>81</v>
      </c>
      <c r="R128" s="163" t="s">
        <v>82</v>
      </c>
      <c r="S128" s="82" t="s">
        <v>83</v>
      </c>
      <c r="T128" s="163" t="s">
        <v>81</v>
      </c>
      <c r="U128" s="163" t="s">
        <v>82</v>
      </c>
      <c r="V128" s="82" t="s">
        <v>83</v>
      </c>
      <c r="W128" s="163" t="s">
        <v>81</v>
      </c>
      <c r="X128" s="163" t="s">
        <v>82</v>
      </c>
      <c r="Y128" s="82" t="s">
        <v>83</v>
      </c>
      <c r="Z128" s="163" t="s">
        <v>81</v>
      </c>
      <c r="AA128" s="163" t="s">
        <v>82</v>
      </c>
      <c r="AB128" s="82" t="s">
        <v>83</v>
      </c>
      <c r="AC128" s="163" t="s">
        <v>81</v>
      </c>
      <c r="AD128" s="163" t="s">
        <v>82</v>
      </c>
      <c r="AE128" s="82" t="s">
        <v>83</v>
      </c>
      <c r="AF128" s="163" t="s">
        <v>81</v>
      </c>
      <c r="AG128" s="163" t="s">
        <v>304</v>
      </c>
      <c r="AH128" s="82" t="s">
        <v>83</v>
      </c>
    </row>
    <row r="129" spans="1:34" s="70" customFormat="1" x14ac:dyDescent="0.3">
      <c r="A129" s="60" t="s">
        <v>83</v>
      </c>
      <c r="B129" s="83">
        <v>20657</v>
      </c>
      <c r="C129" s="83">
        <v>18508</v>
      </c>
      <c r="D129" s="80">
        <f>SUM(B129:C129)</f>
        <v>39165</v>
      </c>
      <c r="E129" s="83">
        <v>16092</v>
      </c>
      <c r="F129" s="83">
        <v>16149</v>
      </c>
      <c r="G129" s="80">
        <f>SUM(E129:F129)</f>
        <v>32241</v>
      </c>
      <c r="H129" s="83">
        <v>18696</v>
      </c>
      <c r="I129" s="83">
        <v>19455</v>
      </c>
      <c r="J129" s="80">
        <f>SUM(H129:I129)</f>
        <v>38151</v>
      </c>
      <c r="K129" s="83">
        <v>45561</v>
      </c>
      <c r="L129" s="83">
        <v>49533</v>
      </c>
      <c r="M129" s="80">
        <f>SUM(K129:L129)</f>
        <v>95094</v>
      </c>
      <c r="N129" s="83">
        <v>20670</v>
      </c>
      <c r="O129" s="83">
        <v>20610</v>
      </c>
      <c r="P129" s="80">
        <f>SUM(N129:O129)</f>
        <v>41280</v>
      </c>
      <c r="Q129" s="83">
        <v>16049</v>
      </c>
      <c r="R129" s="83">
        <v>16650</v>
      </c>
      <c r="S129" s="80">
        <f>SUM(Q129:R129)</f>
        <v>32699</v>
      </c>
      <c r="T129" s="83">
        <v>19329</v>
      </c>
      <c r="U129" s="83">
        <v>20273</v>
      </c>
      <c r="V129" s="80">
        <f>SUM(T129:U129)</f>
        <v>39602</v>
      </c>
      <c r="W129" s="83">
        <v>17986</v>
      </c>
      <c r="X129" s="83">
        <v>18671</v>
      </c>
      <c r="Y129" s="80">
        <f>SUM(W129:X129)</f>
        <v>36657</v>
      </c>
      <c r="Z129" s="83">
        <v>28343</v>
      </c>
      <c r="AA129" s="83">
        <v>28383</v>
      </c>
      <c r="AB129" s="80">
        <f>SUM(Z129:AA129)</f>
        <v>56726</v>
      </c>
      <c r="AC129" s="83">
        <v>8776</v>
      </c>
      <c r="AD129" s="83">
        <v>9938</v>
      </c>
      <c r="AE129" s="80">
        <f>SUM(AC129:AD129)</f>
        <v>18714</v>
      </c>
      <c r="AF129" s="83">
        <v>20246</v>
      </c>
      <c r="AG129" s="83">
        <v>21608</v>
      </c>
      <c r="AH129" s="80">
        <f>SUM(AF129:AG129)</f>
        <v>41854</v>
      </c>
    </row>
    <row r="130" spans="1:34" x14ac:dyDescent="0.3">
      <c r="A130" s="44" t="s">
        <v>185</v>
      </c>
      <c r="B130" s="8">
        <v>671</v>
      </c>
      <c r="C130" s="8">
        <v>863</v>
      </c>
      <c r="D130" s="36">
        <f t="shared" ref="D130:D152" si="44">SUM(B130:C130)</f>
        <v>1534</v>
      </c>
      <c r="E130" s="8">
        <v>504</v>
      </c>
      <c r="F130" s="8">
        <v>715</v>
      </c>
      <c r="G130" s="36">
        <f t="shared" ref="G130:G152" si="45">SUM(E130:F130)</f>
        <v>1219</v>
      </c>
      <c r="H130" s="39">
        <v>1114</v>
      </c>
      <c r="I130" s="39">
        <v>1249</v>
      </c>
      <c r="J130" s="36">
        <f t="shared" ref="J130:J152" si="46">SUM(H130:I130)</f>
        <v>2363</v>
      </c>
      <c r="K130" s="39">
        <v>3255</v>
      </c>
      <c r="L130" s="39">
        <v>4003</v>
      </c>
      <c r="M130" s="36">
        <f t="shared" ref="M130:M152" si="47">SUM(K130:L130)</f>
        <v>7258</v>
      </c>
      <c r="N130" s="39">
        <v>1530</v>
      </c>
      <c r="O130" s="39">
        <v>1421</v>
      </c>
      <c r="P130" s="36">
        <f t="shared" ref="P130:P152" si="48">SUM(N130:O130)</f>
        <v>2951</v>
      </c>
      <c r="Q130" s="8">
        <v>948</v>
      </c>
      <c r="R130" s="8">
        <v>996</v>
      </c>
      <c r="S130" s="36">
        <f t="shared" ref="S130:S152" si="49">SUM(Q130:R130)</f>
        <v>1944</v>
      </c>
      <c r="T130" s="8">
        <v>956</v>
      </c>
      <c r="U130" s="39">
        <v>1180</v>
      </c>
      <c r="V130" s="36">
        <f t="shared" ref="V130:V152" si="50">SUM(T130:U130)</f>
        <v>2136</v>
      </c>
      <c r="W130" s="39">
        <v>1203</v>
      </c>
      <c r="X130" s="8">
        <v>912</v>
      </c>
      <c r="Y130" s="36">
        <f t="shared" ref="Y130:Y152" si="51">SUM(W130:X130)</f>
        <v>2115</v>
      </c>
      <c r="Z130" s="39">
        <v>2187</v>
      </c>
      <c r="AA130" s="39">
        <v>2279</v>
      </c>
      <c r="AB130" s="36">
        <f t="shared" ref="AB130:AB152" si="52">SUM(Z130:AA130)</f>
        <v>4466</v>
      </c>
      <c r="AC130" s="8">
        <v>589</v>
      </c>
      <c r="AD130" s="8">
        <v>642</v>
      </c>
      <c r="AE130" s="36">
        <f t="shared" ref="AE130:AE152" si="53">SUM(AC130:AD130)</f>
        <v>1231</v>
      </c>
      <c r="AF130" s="39">
        <v>1340</v>
      </c>
      <c r="AG130" s="39">
        <v>1159</v>
      </c>
      <c r="AH130" s="36">
        <f t="shared" ref="AH130:AH152" si="54">SUM(AF130:AG130)</f>
        <v>2499</v>
      </c>
    </row>
    <row r="131" spans="1:34" x14ac:dyDescent="0.3">
      <c r="A131" s="44" t="s">
        <v>186</v>
      </c>
      <c r="B131" s="8">
        <v>704</v>
      </c>
      <c r="C131" s="8">
        <v>482</v>
      </c>
      <c r="D131" s="36">
        <f t="shared" si="44"/>
        <v>1186</v>
      </c>
      <c r="E131" s="8">
        <v>312</v>
      </c>
      <c r="F131" s="8">
        <v>400</v>
      </c>
      <c r="G131" s="36">
        <f t="shared" si="45"/>
        <v>712</v>
      </c>
      <c r="H131" s="39">
        <v>1098</v>
      </c>
      <c r="I131" s="8">
        <v>877</v>
      </c>
      <c r="J131" s="36">
        <f t="shared" si="46"/>
        <v>1975</v>
      </c>
      <c r="K131" s="39">
        <v>3730</v>
      </c>
      <c r="L131" s="39">
        <v>3655</v>
      </c>
      <c r="M131" s="36">
        <f t="shared" si="47"/>
        <v>7385</v>
      </c>
      <c r="N131" s="39">
        <v>1661</v>
      </c>
      <c r="O131" s="39">
        <v>1068</v>
      </c>
      <c r="P131" s="36">
        <f t="shared" si="48"/>
        <v>2729</v>
      </c>
      <c r="Q131" s="8">
        <v>946</v>
      </c>
      <c r="R131" s="8">
        <v>610</v>
      </c>
      <c r="S131" s="36">
        <f t="shared" si="49"/>
        <v>1556</v>
      </c>
      <c r="T131" s="39">
        <v>1321</v>
      </c>
      <c r="U131" s="39">
        <v>1189</v>
      </c>
      <c r="V131" s="36">
        <f t="shared" si="50"/>
        <v>2510</v>
      </c>
      <c r="W131" s="39">
        <v>1249</v>
      </c>
      <c r="X131" s="39">
        <v>1236</v>
      </c>
      <c r="Y131" s="36">
        <f t="shared" si="51"/>
        <v>2485</v>
      </c>
      <c r="Z131" s="39">
        <v>2196</v>
      </c>
      <c r="AA131" s="39">
        <v>2250</v>
      </c>
      <c r="AB131" s="36">
        <f t="shared" si="52"/>
        <v>4446</v>
      </c>
      <c r="AC131" s="8">
        <v>350</v>
      </c>
      <c r="AD131" s="8">
        <v>480</v>
      </c>
      <c r="AE131" s="36">
        <f t="shared" si="53"/>
        <v>830</v>
      </c>
      <c r="AF131" s="8">
        <v>863</v>
      </c>
      <c r="AG131" s="8">
        <v>686</v>
      </c>
      <c r="AH131" s="36">
        <f t="shared" si="54"/>
        <v>1549</v>
      </c>
    </row>
    <row r="132" spans="1:34" x14ac:dyDescent="0.3">
      <c r="A132" s="44" t="s">
        <v>187</v>
      </c>
      <c r="B132" s="8">
        <v>777</v>
      </c>
      <c r="C132" s="8">
        <v>762</v>
      </c>
      <c r="D132" s="36">
        <f t="shared" si="44"/>
        <v>1539</v>
      </c>
      <c r="E132" s="8">
        <v>407</v>
      </c>
      <c r="F132" s="8">
        <v>501</v>
      </c>
      <c r="G132" s="36">
        <f t="shared" si="45"/>
        <v>908</v>
      </c>
      <c r="H132" s="39">
        <v>1107</v>
      </c>
      <c r="I132" s="8">
        <v>870</v>
      </c>
      <c r="J132" s="36">
        <f t="shared" si="46"/>
        <v>1977</v>
      </c>
      <c r="K132" s="39">
        <v>4189</v>
      </c>
      <c r="L132" s="39">
        <v>2852</v>
      </c>
      <c r="M132" s="36">
        <f t="shared" si="47"/>
        <v>7041</v>
      </c>
      <c r="N132" s="39">
        <v>1525</v>
      </c>
      <c r="O132" s="39">
        <v>1547</v>
      </c>
      <c r="P132" s="36">
        <f t="shared" si="48"/>
        <v>3072</v>
      </c>
      <c r="Q132" s="39">
        <v>1071</v>
      </c>
      <c r="R132" s="39">
        <v>1010</v>
      </c>
      <c r="S132" s="36">
        <f t="shared" si="49"/>
        <v>2081</v>
      </c>
      <c r="T132" s="39">
        <v>1511</v>
      </c>
      <c r="U132" s="39">
        <v>1112</v>
      </c>
      <c r="V132" s="36">
        <f t="shared" si="50"/>
        <v>2623</v>
      </c>
      <c r="W132" s="39">
        <v>1102</v>
      </c>
      <c r="X132" s="39">
        <v>1214</v>
      </c>
      <c r="Y132" s="36">
        <f t="shared" si="51"/>
        <v>2316</v>
      </c>
      <c r="Z132" s="39">
        <v>2447</v>
      </c>
      <c r="AA132" s="39">
        <v>1949</v>
      </c>
      <c r="AB132" s="36">
        <f t="shared" si="52"/>
        <v>4396</v>
      </c>
      <c r="AC132" s="8">
        <v>550</v>
      </c>
      <c r="AD132" s="8">
        <v>278</v>
      </c>
      <c r="AE132" s="36">
        <f t="shared" si="53"/>
        <v>828</v>
      </c>
      <c r="AF132" s="39">
        <v>1323</v>
      </c>
      <c r="AG132" s="39">
        <v>1507</v>
      </c>
      <c r="AH132" s="36">
        <f t="shared" si="54"/>
        <v>2830</v>
      </c>
    </row>
    <row r="133" spans="1:34" x14ac:dyDescent="0.3">
      <c r="A133" s="44" t="s">
        <v>188</v>
      </c>
      <c r="B133" s="8">
        <v>495</v>
      </c>
      <c r="C133" s="8">
        <v>475</v>
      </c>
      <c r="D133" s="36">
        <f t="shared" si="44"/>
        <v>970</v>
      </c>
      <c r="E133" s="8">
        <v>561</v>
      </c>
      <c r="F133" s="8">
        <v>233</v>
      </c>
      <c r="G133" s="36">
        <f t="shared" si="45"/>
        <v>794</v>
      </c>
      <c r="H133" s="8">
        <v>544</v>
      </c>
      <c r="I133" s="8">
        <v>519</v>
      </c>
      <c r="J133" s="36">
        <f t="shared" si="46"/>
        <v>1063</v>
      </c>
      <c r="K133" s="39">
        <v>1900</v>
      </c>
      <c r="L133" s="39">
        <v>2295</v>
      </c>
      <c r="M133" s="36">
        <f t="shared" si="47"/>
        <v>4195</v>
      </c>
      <c r="N133" s="8">
        <v>630</v>
      </c>
      <c r="O133" s="8">
        <v>560</v>
      </c>
      <c r="P133" s="36">
        <f t="shared" si="48"/>
        <v>1190</v>
      </c>
      <c r="Q133" s="8">
        <v>681</v>
      </c>
      <c r="R133" s="8">
        <v>423</v>
      </c>
      <c r="S133" s="36">
        <f t="shared" si="49"/>
        <v>1104</v>
      </c>
      <c r="T133" s="8">
        <v>545</v>
      </c>
      <c r="U133" s="8">
        <v>682</v>
      </c>
      <c r="V133" s="36">
        <f t="shared" si="50"/>
        <v>1227</v>
      </c>
      <c r="W133" s="8">
        <v>700</v>
      </c>
      <c r="X133" s="8">
        <v>895</v>
      </c>
      <c r="Y133" s="36">
        <f t="shared" si="51"/>
        <v>1595</v>
      </c>
      <c r="Z133" s="39">
        <v>1144</v>
      </c>
      <c r="AA133" s="39">
        <v>1339</v>
      </c>
      <c r="AB133" s="36">
        <f t="shared" si="52"/>
        <v>2483</v>
      </c>
      <c r="AC133" s="8">
        <v>169</v>
      </c>
      <c r="AD133" s="8">
        <v>132</v>
      </c>
      <c r="AE133" s="36">
        <f t="shared" si="53"/>
        <v>301</v>
      </c>
      <c r="AF133" s="8">
        <v>721</v>
      </c>
      <c r="AG133" s="8">
        <v>675</v>
      </c>
      <c r="AH133" s="36">
        <f t="shared" si="54"/>
        <v>1396</v>
      </c>
    </row>
    <row r="134" spans="1:34" x14ac:dyDescent="0.3">
      <c r="A134" s="44" t="s">
        <v>189</v>
      </c>
      <c r="B134" s="8">
        <v>415</v>
      </c>
      <c r="C134" s="8">
        <v>239</v>
      </c>
      <c r="D134" s="36">
        <f t="shared" si="44"/>
        <v>654</v>
      </c>
      <c r="E134" s="8">
        <v>296</v>
      </c>
      <c r="F134" s="8">
        <v>323</v>
      </c>
      <c r="G134" s="36">
        <f t="shared" si="45"/>
        <v>619</v>
      </c>
      <c r="H134" s="8">
        <v>577</v>
      </c>
      <c r="I134" s="8">
        <v>656</v>
      </c>
      <c r="J134" s="36">
        <f t="shared" si="46"/>
        <v>1233</v>
      </c>
      <c r="K134" s="39">
        <v>1084</v>
      </c>
      <c r="L134" s="39">
        <v>1662</v>
      </c>
      <c r="M134" s="36">
        <f t="shared" si="47"/>
        <v>2746</v>
      </c>
      <c r="N134" s="8">
        <v>572</v>
      </c>
      <c r="O134" s="8">
        <v>566</v>
      </c>
      <c r="P134" s="36">
        <f t="shared" si="48"/>
        <v>1138</v>
      </c>
      <c r="Q134" s="8">
        <v>374</v>
      </c>
      <c r="R134" s="8">
        <v>382</v>
      </c>
      <c r="S134" s="36">
        <f t="shared" si="49"/>
        <v>756</v>
      </c>
      <c r="T134" s="8">
        <v>307</v>
      </c>
      <c r="U134" s="8">
        <v>277</v>
      </c>
      <c r="V134" s="36">
        <f t="shared" si="50"/>
        <v>584</v>
      </c>
      <c r="W134" s="8">
        <v>705</v>
      </c>
      <c r="X134" s="8">
        <v>583</v>
      </c>
      <c r="Y134" s="36">
        <f t="shared" si="51"/>
        <v>1288</v>
      </c>
      <c r="Z134" s="8">
        <v>964</v>
      </c>
      <c r="AA134" s="8">
        <v>874</v>
      </c>
      <c r="AB134" s="36">
        <f t="shared" si="52"/>
        <v>1838</v>
      </c>
      <c r="AC134" s="8">
        <v>74</v>
      </c>
      <c r="AD134" s="8">
        <v>82</v>
      </c>
      <c r="AE134" s="36">
        <f t="shared" si="53"/>
        <v>156</v>
      </c>
      <c r="AF134" s="8">
        <v>974</v>
      </c>
      <c r="AG134" s="39">
        <v>1162</v>
      </c>
      <c r="AH134" s="36">
        <f t="shared" si="54"/>
        <v>2136</v>
      </c>
    </row>
    <row r="135" spans="1:34" x14ac:dyDescent="0.3">
      <c r="A135" s="44" t="s">
        <v>190</v>
      </c>
      <c r="B135" s="8">
        <v>86</v>
      </c>
      <c r="C135" s="8">
        <v>275</v>
      </c>
      <c r="D135" s="36">
        <f t="shared" si="44"/>
        <v>361</v>
      </c>
      <c r="E135" s="8">
        <v>94</v>
      </c>
      <c r="F135" s="8">
        <v>104</v>
      </c>
      <c r="G135" s="36">
        <f t="shared" si="45"/>
        <v>198</v>
      </c>
      <c r="H135" s="8">
        <v>258</v>
      </c>
      <c r="I135" s="8">
        <v>429</v>
      </c>
      <c r="J135" s="36">
        <f t="shared" si="46"/>
        <v>687</v>
      </c>
      <c r="K135" s="8">
        <v>833</v>
      </c>
      <c r="L135" s="8">
        <v>697</v>
      </c>
      <c r="M135" s="36">
        <f t="shared" si="47"/>
        <v>1530</v>
      </c>
      <c r="N135" s="8">
        <v>395</v>
      </c>
      <c r="O135" s="8">
        <v>511</v>
      </c>
      <c r="P135" s="36">
        <f t="shared" si="48"/>
        <v>906</v>
      </c>
      <c r="Q135" s="8">
        <v>138</v>
      </c>
      <c r="R135" s="8">
        <v>197</v>
      </c>
      <c r="S135" s="36">
        <f t="shared" si="49"/>
        <v>335</v>
      </c>
      <c r="T135" s="8">
        <v>121</v>
      </c>
      <c r="U135" s="8">
        <v>127</v>
      </c>
      <c r="V135" s="36">
        <f t="shared" si="50"/>
        <v>248</v>
      </c>
      <c r="W135" s="8">
        <v>214</v>
      </c>
      <c r="X135" s="8">
        <v>258</v>
      </c>
      <c r="Y135" s="36">
        <f t="shared" si="51"/>
        <v>472</v>
      </c>
      <c r="Z135" s="8">
        <v>520</v>
      </c>
      <c r="AA135" s="8">
        <v>449</v>
      </c>
      <c r="AB135" s="36">
        <f t="shared" si="52"/>
        <v>969</v>
      </c>
      <c r="AC135" s="8">
        <v>8</v>
      </c>
      <c r="AD135" s="8">
        <v>66</v>
      </c>
      <c r="AE135" s="36">
        <f t="shared" si="53"/>
        <v>74</v>
      </c>
      <c r="AF135" s="8">
        <v>458</v>
      </c>
      <c r="AG135" s="8">
        <v>584</v>
      </c>
      <c r="AH135" s="36">
        <f t="shared" si="54"/>
        <v>1042</v>
      </c>
    </row>
    <row r="136" spans="1:34" x14ac:dyDescent="0.3">
      <c r="A136" s="44" t="s">
        <v>191</v>
      </c>
      <c r="B136" s="8">
        <v>205</v>
      </c>
      <c r="C136" s="8">
        <v>272</v>
      </c>
      <c r="D136" s="36">
        <f t="shared" si="44"/>
        <v>477</v>
      </c>
      <c r="E136" s="8">
        <v>109</v>
      </c>
      <c r="F136" s="8">
        <v>192</v>
      </c>
      <c r="G136" s="36">
        <f t="shared" si="45"/>
        <v>301</v>
      </c>
      <c r="H136" s="8">
        <v>748</v>
      </c>
      <c r="I136" s="8">
        <v>191</v>
      </c>
      <c r="J136" s="36">
        <f t="shared" si="46"/>
        <v>939</v>
      </c>
      <c r="K136" s="8">
        <v>877</v>
      </c>
      <c r="L136" s="8">
        <v>742</v>
      </c>
      <c r="M136" s="36">
        <f t="shared" si="47"/>
        <v>1619</v>
      </c>
      <c r="N136" s="8">
        <v>393</v>
      </c>
      <c r="O136" s="8">
        <v>183</v>
      </c>
      <c r="P136" s="36">
        <f t="shared" si="48"/>
        <v>576</v>
      </c>
      <c r="Q136" s="8">
        <v>138</v>
      </c>
      <c r="R136" s="8">
        <v>146</v>
      </c>
      <c r="S136" s="36">
        <f t="shared" si="49"/>
        <v>284</v>
      </c>
      <c r="T136" s="8">
        <v>95</v>
      </c>
      <c r="U136" s="8">
        <v>89</v>
      </c>
      <c r="V136" s="36">
        <f t="shared" si="50"/>
        <v>184</v>
      </c>
      <c r="W136" s="8">
        <v>406</v>
      </c>
      <c r="X136" s="8">
        <v>460</v>
      </c>
      <c r="Y136" s="36">
        <f t="shared" si="51"/>
        <v>866</v>
      </c>
      <c r="Z136" s="8">
        <v>575</v>
      </c>
      <c r="AA136" s="8">
        <v>632</v>
      </c>
      <c r="AB136" s="36">
        <f t="shared" si="52"/>
        <v>1207</v>
      </c>
      <c r="AC136" s="8">
        <v>27</v>
      </c>
      <c r="AD136" s="8">
        <v>32</v>
      </c>
      <c r="AE136" s="36">
        <f t="shared" si="53"/>
        <v>59</v>
      </c>
      <c r="AF136" s="8">
        <v>491</v>
      </c>
      <c r="AG136" s="8">
        <v>465</v>
      </c>
      <c r="AH136" s="36">
        <f t="shared" si="54"/>
        <v>956</v>
      </c>
    </row>
    <row r="137" spans="1:34" x14ac:dyDescent="0.3">
      <c r="A137" s="44" t="s">
        <v>192</v>
      </c>
      <c r="B137" s="8">
        <v>947</v>
      </c>
      <c r="C137" s="39">
        <v>1129</v>
      </c>
      <c r="D137" s="36">
        <f t="shared" si="44"/>
        <v>2076</v>
      </c>
      <c r="E137" s="8">
        <v>536</v>
      </c>
      <c r="F137" s="8">
        <v>618</v>
      </c>
      <c r="G137" s="36">
        <f t="shared" si="45"/>
        <v>1154</v>
      </c>
      <c r="H137" s="8">
        <v>790</v>
      </c>
      <c r="I137" s="39">
        <v>1043</v>
      </c>
      <c r="J137" s="36">
        <f t="shared" si="46"/>
        <v>1833</v>
      </c>
      <c r="K137" s="39">
        <v>2034</v>
      </c>
      <c r="L137" s="39">
        <v>2104</v>
      </c>
      <c r="M137" s="36">
        <f t="shared" si="47"/>
        <v>4138</v>
      </c>
      <c r="N137" s="39">
        <v>1169</v>
      </c>
      <c r="O137" s="8">
        <v>825</v>
      </c>
      <c r="P137" s="36">
        <f t="shared" si="48"/>
        <v>1994</v>
      </c>
      <c r="Q137" s="8">
        <v>523</v>
      </c>
      <c r="R137" s="8">
        <v>536</v>
      </c>
      <c r="S137" s="36">
        <f t="shared" si="49"/>
        <v>1059</v>
      </c>
      <c r="T137" s="8">
        <v>568</v>
      </c>
      <c r="U137" s="8">
        <v>664</v>
      </c>
      <c r="V137" s="36">
        <f t="shared" si="50"/>
        <v>1232</v>
      </c>
      <c r="W137" s="8">
        <v>950</v>
      </c>
      <c r="X137" s="8">
        <v>724</v>
      </c>
      <c r="Y137" s="36">
        <f t="shared" si="51"/>
        <v>1674</v>
      </c>
      <c r="Z137" s="39">
        <v>1228</v>
      </c>
      <c r="AA137" s="39">
        <v>1484</v>
      </c>
      <c r="AB137" s="36">
        <f t="shared" si="52"/>
        <v>2712</v>
      </c>
      <c r="AC137" s="8">
        <v>203</v>
      </c>
      <c r="AD137" s="8">
        <v>381</v>
      </c>
      <c r="AE137" s="36">
        <f t="shared" si="53"/>
        <v>584</v>
      </c>
      <c r="AF137" s="39">
        <v>1033</v>
      </c>
      <c r="AG137" s="39">
        <v>1061</v>
      </c>
      <c r="AH137" s="36">
        <f t="shared" si="54"/>
        <v>2094</v>
      </c>
    </row>
    <row r="138" spans="1:34" x14ac:dyDescent="0.3">
      <c r="A138" s="44" t="s">
        <v>193</v>
      </c>
      <c r="B138" s="39">
        <v>3078</v>
      </c>
      <c r="C138" s="39">
        <v>2509</v>
      </c>
      <c r="D138" s="36">
        <f t="shared" si="44"/>
        <v>5587</v>
      </c>
      <c r="E138" s="39">
        <v>1319</v>
      </c>
      <c r="F138" s="39">
        <v>1229</v>
      </c>
      <c r="G138" s="36">
        <f t="shared" si="45"/>
        <v>2548</v>
      </c>
      <c r="H138" s="39">
        <v>1815</v>
      </c>
      <c r="I138" s="39">
        <v>2873</v>
      </c>
      <c r="J138" s="36">
        <f t="shared" si="46"/>
        <v>4688</v>
      </c>
      <c r="K138" s="39">
        <v>4350</v>
      </c>
      <c r="L138" s="39">
        <v>4608</v>
      </c>
      <c r="M138" s="36">
        <f t="shared" si="47"/>
        <v>8958</v>
      </c>
      <c r="N138" s="39">
        <v>1828</v>
      </c>
      <c r="O138" s="39">
        <v>1950</v>
      </c>
      <c r="P138" s="36">
        <f t="shared" si="48"/>
        <v>3778</v>
      </c>
      <c r="Q138" s="39">
        <v>1176</v>
      </c>
      <c r="R138" s="39">
        <v>1159</v>
      </c>
      <c r="S138" s="36">
        <f t="shared" si="49"/>
        <v>2335</v>
      </c>
      <c r="T138" s="39">
        <v>1199</v>
      </c>
      <c r="U138" s="8">
        <v>983</v>
      </c>
      <c r="V138" s="36">
        <f t="shared" si="50"/>
        <v>2182</v>
      </c>
      <c r="W138" s="39">
        <v>1425</v>
      </c>
      <c r="X138" s="39">
        <v>1632</v>
      </c>
      <c r="Y138" s="36">
        <f t="shared" si="51"/>
        <v>3057</v>
      </c>
      <c r="Z138" s="39">
        <v>2739</v>
      </c>
      <c r="AA138" s="39">
        <v>2749</v>
      </c>
      <c r="AB138" s="36">
        <f t="shared" si="52"/>
        <v>5488</v>
      </c>
      <c r="AC138" s="8">
        <v>918</v>
      </c>
      <c r="AD138" s="39">
        <v>1185</v>
      </c>
      <c r="AE138" s="36">
        <f t="shared" si="53"/>
        <v>2103</v>
      </c>
      <c r="AF138" s="39">
        <v>1446</v>
      </c>
      <c r="AG138" s="39">
        <v>1417</v>
      </c>
      <c r="AH138" s="36">
        <f t="shared" si="54"/>
        <v>2863</v>
      </c>
    </row>
    <row r="139" spans="1:34" x14ac:dyDescent="0.3">
      <c r="A139" s="44" t="s">
        <v>194</v>
      </c>
      <c r="B139" s="39">
        <v>2599</v>
      </c>
      <c r="C139" s="39">
        <v>2076</v>
      </c>
      <c r="D139" s="36">
        <f t="shared" si="44"/>
        <v>4675</v>
      </c>
      <c r="E139" s="39">
        <v>1160</v>
      </c>
      <c r="F139" s="39">
        <v>1542</v>
      </c>
      <c r="G139" s="36">
        <f t="shared" si="45"/>
        <v>2702</v>
      </c>
      <c r="H139" s="39">
        <v>2328</v>
      </c>
      <c r="I139" s="39">
        <v>1750</v>
      </c>
      <c r="J139" s="36">
        <f t="shared" si="46"/>
        <v>4078</v>
      </c>
      <c r="K139" s="39">
        <v>3783</v>
      </c>
      <c r="L139" s="39">
        <v>3687</v>
      </c>
      <c r="M139" s="36">
        <f t="shared" si="47"/>
        <v>7470</v>
      </c>
      <c r="N139" s="39">
        <v>1643</v>
      </c>
      <c r="O139" s="39">
        <v>1417</v>
      </c>
      <c r="P139" s="36">
        <f t="shared" si="48"/>
        <v>3060</v>
      </c>
      <c r="Q139" s="39">
        <v>1040</v>
      </c>
      <c r="R139" s="39">
        <v>1278</v>
      </c>
      <c r="S139" s="36">
        <f t="shared" si="49"/>
        <v>2318</v>
      </c>
      <c r="T139" s="39">
        <v>1258</v>
      </c>
      <c r="U139" s="39">
        <v>1185</v>
      </c>
      <c r="V139" s="36">
        <f t="shared" si="50"/>
        <v>2443</v>
      </c>
      <c r="W139" s="39">
        <v>1265</v>
      </c>
      <c r="X139" s="39">
        <v>1288</v>
      </c>
      <c r="Y139" s="36">
        <f t="shared" si="51"/>
        <v>2553</v>
      </c>
      <c r="Z139" s="39">
        <v>2784</v>
      </c>
      <c r="AA139" s="39">
        <v>2407</v>
      </c>
      <c r="AB139" s="36">
        <f t="shared" si="52"/>
        <v>5191</v>
      </c>
      <c r="AC139" s="8">
        <v>946</v>
      </c>
      <c r="AD139" s="39">
        <v>1157</v>
      </c>
      <c r="AE139" s="36">
        <f t="shared" si="53"/>
        <v>2103</v>
      </c>
      <c r="AF139" s="39">
        <v>1206</v>
      </c>
      <c r="AG139" s="39">
        <v>1331</v>
      </c>
      <c r="AH139" s="36">
        <f t="shared" si="54"/>
        <v>2537</v>
      </c>
    </row>
    <row r="140" spans="1:34" x14ac:dyDescent="0.3">
      <c r="A140" s="44" t="s">
        <v>195</v>
      </c>
      <c r="B140" s="39">
        <v>1810</v>
      </c>
      <c r="C140" s="39">
        <v>1776</v>
      </c>
      <c r="D140" s="36">
        <f t="shared" si="44"/>
        <v>3586</v>
      </c>
      <c r="E140" s="39">
        <v>1251</v>
      </c>
      <c r="F140" s="39">
        <v>1279</v>
      </c>
      <c r="G140" s="36">
        <f t="shared" si="45"/>
        <v>2530</v>
      </c>
      <c r="H140" s="39">
        <v>1319</v>
      </c>
      <c r="I140" s="39">
        <v>1425</v>
      </c>
      <c r="J140" s="36">
        <f t="shared" si="46"/>
        <v>2744</v>
      </c>
      <c r="K140" s="39">
        <v>3107</v>
      </c>
      <c r="L140" s="39">
        <v>3182</v>
      </c>
      <c r="M140" s="36">
        <f t="shared" si="47"/>
        <v>6289</v>
      </c>
      <c r="N140" s="39">
        <v>1544</v>
      </c>
      <c r="O140" s="39">
        <v>1608</v>
      </c>
      <c r="P140" s="36">
        <f t="shared" si="48"/>
        <v>3152</v>
      </c>
      <c r="Q140" s="39">
        <v>1141</v>
      </c>
      <c r="R140" s="39">
        <v>1084</v>
      </c>
      <c r="S140" s="36">
        <f t="shared" si="49"/>
        <v>2225</v>
      </c>
      <c r="T140" s="39">
        <v>1310</v>
      </c>
      <c r="U140" s="39">
        <v>1490</v>
      </c>
      <c r="V140" s="36">
        <f t="shared" si="50"/>
        <v>2800</v>
      </c>
      <c r="W140" s="39">
        <v>1258</v>
      </c>
      <c r="X140" s="39">
        <v>1278</v>
      </c>
      <c r="Y140" s="36">
        <f t="shared" si="51"/>
        <v>2536</v>
      </c>
      <c r="Z140" s="39">
        <v>1818</v>
      </c>
      <c r="AA140" s="39">
        <v>1858</v>
      </c>
      <c r="AB140" s="36">
        <f t="shared" si="52"/>
        <v>3676</v>
      </c>
      <c r="AC140" s="39">
        <v>1111</v>
      </c>
      <c r="AD140" s="39">
        <v>1116</v>
      </c>
      <c r="AE140" s="36">
        <f t="shared" si="53"/>
        <v>2227</v>
      </c>
      <c r="AF140" s="39">
        <v>1209</v>
      </c>
      <c r="AG140" s="39">
        <v>1588</v>
      </c>
      <c r="AH140" s="36">
        <f t="shared" si="54"/>
        <v>2797</v>
      </c>
    </row>
    <row r="141" spans="1:34" x14ac:dyDescent="0.3">
      <c r="A141" s="44" t="s">
        <v>196</v>
      </c>
      <c r="B141" s="39">
        <v>1693</v>
      </c>
      <c r="C141" s="39">
        <v>1471</v>
      </c>
      <c r="D141" s="36">
        <f t="shared" si="44"/>
        <v>3164</v>
      </c>
      <c r="E141" s="39">
        <v>1184</v>
      </c>
      <c r="F141" s="8">
        <v>838</v>
      </c>
      <c r="G141" s="36">
        <f t="shared" si="45"/>
        <v>2022</v>
      </c>
      <c r="H141" s="39">
        <v>1219</v>
      </c>
      <c r="I141" s="39">
        <v>1327</v>
      </c>
      <c r="J141" s="36">
        <f t="shared" si="46"/>
        <v>2546</v>
      </c>
      <c r="K141" s="39">
        <v>2823</v>
      </c>
      <c r="L141" s="39">
        <v>3344</v>
      </c>
      <c r="M141" s="36">
        <f t="shared" si="47"/>
        <v>6167</v>
      </c>
      <c r="N141" s="39">
        <v>1353</v>
      </c>
      <c r="O141" s="39">
        <v>1386</v>
      </c>
      <c r="P141" s="36">
        <f t="shared" si="48"/>
        <v>2739</v>
      </c>
      <c r="Q141" s="8">
        <v>734</v>
      </c>
      <c r="R141" s="39">
        <v>1354</v>
      </c>
      <c r="S141" s="36">
        <f t="shared" si="49"/>
        <v>2088</v>
      </c>
      <c r="T141" s="39">
        <v>1339</v>
      </c>
      <c r="U141" s="39">
        <v>1408</v>
      </c>
      <c r="V141" s="36">
        <f t="shared" si="50"/>
        <v>2747</v>
      </c>
      <c r="W141" s="39">
        <v>1218</v>
      </c>
      <c r="X141" s="39">
        <v>1001</v>
      </c>
      <c r="Y141" s="36">
        <f t="shared" si="51"/>
        <v>2219</v>
      </c>
      <c r="Z141" s="39">
        <v>1832</v>
      </c>
      <c r="AA141" s="39">
        <v>1723</v>
      </c>
      <c r="AB141" s="36">
        <f t="shared" si="52"/>
        <v>3555</v>
      </c>
      <c r="AC141" s="8">
        <v>705</v>
      </c>
      <c r="AD141" s="8">
        <v>549</v>
      </c>
      <c r="AE141" s="36">
        <f t="shared" si="53"/>
        <v>1254</v>
      </c>
      <c r="AF141" s="39">
        <v>1307</v>
      </c>
      <c r="AG141" s="39">
        <v>1112</v>
      </c>
      <c r="AH141" s="36">
        <f t="shared" si="54"/>
        <v>2419</v>
      </c>
    </row>
    <row r="142" spans="1:34" x14ac:dyDescent="0.3">
      <c r="A142" s="44" t="s">
        <v>197</v>
      </c>
      <c r="B142" s="39">
        <v>1656</v>
      </c>
      <c r="C142" s="39">
        <v>1120</v>
      </c>
      <c r="D142" s="36">
        <f t="shared" si="44"/>
        <v>2776</v>
      </c>
      <c r="E142" s="39">
        <v>1584</v>
      </c>
      <c r="F142" s="39">
        <v>1112</v>
      </c>
      <c r="G142" s="36">
        <f t="shared" si="45"/>
        <v>2696</v>
      </c>
      <c r="H142" s="39">
        <v>1229</v>
      </c>
      <c r="I142" s="39">
        <v>1344</v>
      </c>
      <c r="J142" s="36">
        <f t="shared" si="46"/>
        <v>2573</v>
      </c>
      <c r="K142" s="39">
        <v>2684</v>
      </c>
      <c r="L142" s="39">
        <v>2978</v>
      </c>
      <c r="M142" s="36">
        <f t="shared" si="47"/>
        <v>5662</v>
      </c>
      <c r="N142" s="39">
        <v>1327</v>
      </c>
      <c r="O142" s="39">
        <v>1306</v>
      </c>
      <c r="P142" s="36">
        <f t="shared" si="48"/>
        <v>2633</v>
      </c>
      <c r="Q142" s="39">
        <v>1656</v>
      </c>
      <c r="R142" s="39">
        <v>1347</v>
      </c>
      <c r="S142" s="36">
        <f t="shared" si="49"/>
        <v>3003</v>
      </c>
      <c r="T142" s="39">
        <v>1360</v>
      </c>
      <c r="U142" s="39">
        <v>1469</v>
      </c>
      <c r="V142" s="36">
        <f t="shared" si="50"/>
        <v>2829</v>
      </c>
      <c r="W142" s="8">
        <v>880</v>
      </c>
      <c r="X142" s="8">
        <v>951</v>
      </c>
      <c r="Y142" s="36">
        <f t="shared" si="51"/>
        <v>1831</v>
      </c>
      <c r="Z142" s="39">
        <v>1573</v>
      </c>
      <c r="AA142" s="39">
        <v>1656</v>
      </c>
      <c r="AB142" s="36">
        <f t="shared" si="52"/>
        <v>3229</v>
      </c>
      <c r="AC142" s="8">
        <v>457</v>
      </c>
      <c r="AD142" s="8">
        <v>413</v>
      </c>
      <c r="AE142" s="36">
        <f t="shared" si="53"/>
        <v>870</v>
      </c>
      <c r="AF142" s="39">
        <v>1306</v>
      </c>
      <c r="AG142" s="39">
        <v>1613</v>
      </c>
      <c r="AH142" s="36">
        <f t="shared" si="54"/>
        <v>2919</v>
      </c>
    </row>
    <row r="143" spans="1:34" x14ac:dyDescent="0.3">
      <c r="A143" s="44" t="s">
        <v>198</v>
      </c>
      <c r="B143" s="39">
        <v>1487</v>
      </c>
      <c r="C143" s="8">
        <v>932</v>
      </c>
      <c r="D143" s="36">
        <f t="shared" si="44"/>
        <v>2419</v>
      </c>
      <c r="E143" s="39">
        <v>1174</v>
      </c>
      <c r="F143" s="39">
        <v>1200</v>
      </c>
      <c r="G143" s="36">
        <f t="shared" si="45"/>
        <v>2374</v>
      </c>
      <c r="H143" s="39">
        <v>1436</v>
      </c>
      <c r="I143" s="39">
        <v>1584</v>
      </c>
      <c r="J143" s="36">
        <f t="shared" si="46"/>
        <v>3020</v>
      </c>
      <c r="K143" s="39">
        <v>2344</v>
      </c>
      <c r="L143" s="39">
        <v>2966</v>
      </c>
      <c r="M143" s="36">
        <f t="shared" si="47"/>
        <v>5310</v>
      </c>
      <c r="N143" s="39">
        <v>1619</v>
      </c>
      <c r="O143" s="39">
        <v>1409</v>
      </c>
      <c r="P143" s="36">
        <f t="shared" si="48"/>
        <v>3028</v>
      </c>
      <c r="Q143" s="39">
        <v>1045</v>
      </c>
      <c r="R143" s="39">
        <v>1015</v>
      </c>
      <c r="S143" s="36">
        <f t="shared" si="49"/>
        <v>2060</v>
      </c>
      <c r="T143" s="39">
        <v>1518</v>
      </c>
      <c r="U143" s="39">
        <v>1396</v>
      </c>
      <c r="V143" s="36">
        <f t="shared" si="50"/>
        <v>2914</v>
      </c>
      <c r="W143" s="39">
        <v>1182</v>
      </c>
      <c r="X143" s="39">
        <v>1591</v>
      </c>
      <c r="Y143" s="36">
        <f t="shared" si="51"/>
        <v>2773</v>
      </c>
      <c r="Z143" s="39">
        <v>1499</v>
      </c>
      <c r="AA143" s="39">
        <v>1439</v>
      </c>
      <c r="AB143" s="36">
        <f t="shared" si="52"/>
        <v>2938</v>
      </c>
      <c r="AC143" s="8">
        <v>633</v>
      </c>
      <c r="AD143" s="8">
        <v>866</v>
      </c>
      <c r="AE143" s="36">
        <f t="shared" si="53"/>
        <v>1499</v>
      </c>
      <c r="AF143" s="39">
        <v>1138</v>
      </c>
      <c r="AG143" s="39">
        <v>1200</v>
      </c>
      <c r="AH143" s="36">
        <f t="shared" si="54"/>
        <v>2338</v>
      </c>
    </row>
    <row r="144" spans="1:34" x14ac:dyDescent="0.3">
      <c r="A144" s="44" t="s">
        <v>199</v>
      </c>
      <c r="B144" s="39">
        <v>1135</v>
      </c>
      <c r="C144" s="39">
        <v>1182</v>
      </c>
      <c r="D144" s="36">
        <f t="shared" si="44"/>
        <v>2317</v>
      </c>
      <c r="E144" s="39">
        <v>1354</v>
      </c>
      <c r="F144" s="39">
        <v>1538</v>
      </c>
      <c r="G144" s="36">
        <f t="shared" si="45"/>
        <v>2892</v>
      </c>
      <c r="H144" s="8">
        <v>943</v>
      </c>
      <c r="I144" s="8">
        <v>803</v>
      </c>
      <c r="J144" s="36">
        <f t="shared" si="46"/>
        <v>1746</v>
      </c>
      <c r="K144" s="39">
        <v>2356</v>
      </c>
      <c r="L144" s="39">
        <v>2694</v>
      </c>
      <c r="M144" s="36">
        <f t="shared" si="47"/>
        <v>5050</v>
      </c>
      <c r="N144" s="8">
        <v>852</v>
      </c>
      <c r="O144" s="39">
        <v>1147</v>
      </c>
      <c r="P144" s="36">
        <f t="shared" si="48"/>
        <v>1999</v>
      </c>
      <c r="Q144" s="8">
        <v>968</v>
      </c>
      <c r="R144" s="39">
        <v>1437</v>
      </c>
      <c r="S144" s="36">
        <f t="shared" si="49"/>
        <v>2405</v>
      </c>
      <c r="T144" s="39">
        <v>1278</v>
      </c>
      <c r="U144" s="39">
        <v>1350</v>
      </c>
      <c r="V144" s="36">
        <f t="shared" si="50"/>
        <v>2628</v>
      </c>
      <c r="W144" s="39">
        <v>1194</v>
      </c>
      <c r="X144" s="39">
        <v>1061</v>
      </c>
      <c r="Y144" s="36">
        <f t="shared" si="51"/>
        <v>2255</v>
      </c>
      <c r="Z144" s="39">
        <v>1816</v>
      </c>
      <c r="AA144" s="39">
        <v>1515</v>
      </c>
      <c r="AB144" s="36">
        <f t="shared" si="52"/>
        <v>3331</v>
      </c>
      <c r="AC144" s="8">
        <v>581</v>
      </c>
      <c r="AD144" s="8">
        <v>619</v>
      </c>
      <c r="AE144" s="36">
        <f t="shared" si="53"/>
        <v>1200</v>
      </c>
      <c r="AF144" s="39">
        <v>1557</v>
      </c>
      <c r="AG144" s="39">
        <v>1395</v>
      </c>
      <c r="AH144" s="36">
        <f t="shared" si="54"/>
        <v>2952</v>
      </c>
    </row>
    <row r="145" spans="1:34" x14ac:dyDescent="0.3">
      <c r="A145" s="44" t="s">
        <v>200</v>
      </c>
      <c r="B145" s="8">
        <v>591</v>
      </c>
      <c r="C145" s="8">
        <v>457</v>
      </c>
      <c r="D145" s="36">
        <f t="shared" si="44"/>
        <v>1048</v>
      </c>
      <c r="E145" s="8">
        <v>389</v>
      </c>
      <c r="F145" s="8">
        <v>431</v>
      </c>
      <c r="G145" s="36">
        <f t="shared" si="45"/>
        <v>820</v>
      </c>
      <c r="H145" s="8">
        <v>273</v>
      </c>
      <c r="I145" s="8">
        <v>392</v>
      </c>
      <c r="J145" s="36">
        <f t="shared" si="46"/>
        <v>665</v>
      </c>
      <c r="K145" s="8">
        <v>800</v>
      </c>
      <c r="L145" s="39">
        <v>1274</v>
      </c>
      <c r="M145" s="36">
        <f t="shared" si="47"/>
        <v>2074</v>
      </c>
      <c r="N145" s="8">
        <v>401</v>
      </c>
      <c r="O145" s="8">
        <v>560</v>
      </c>
      <c r="P145" s="36">
        <f t="shared" si="48"/>
        <v>961</v>
      </c>
      <c r="Q145" s="8">
        <v>483</v>
      </c>
      <c r="R145" s="8">
        <v>536</v>
      </c>
      <c r="S145" s="36">
        <f t="shared" si="49"/>
        <v>1019</v>
      </c>
      <c r="T145" s="8">
        <v>625</v>
      </c>
      <c r="U145" s="8">
        <v>682</v>
      </c>
      <c r="V145" s="36">
        <f t="shared" si="50"/>
        <v>1307</v>
      </c>
      <c r="W145" s="8">
        <v>496</v>
      </c>
      <c r="X145" s="8">
        <v>425</v>
      </c>
      <c r="Y145" s="36">
        <f t="shared" si="51"/>
        <v>921</v>
      </c>
      <c r="Z145" s="8">
        <v>515</v>
      </c>
      <c r="AA145" s="8">
        <v>686</v>
      </c>
      <c r="AB145" s="36">
        <f t="shared" si="52"/>
        <v>1201</v>
      </c>
      <c r="AC145" s="8">
        <v>57</v>
      </c>
      <c r="AD145" s="8">
        <v>182</v>
      </c>
      <c r="AE145" s="36">
        <f t="shared" si="53"/>
        <v>239</v>
      </c>
      <c r="AF145" s="8">
        <v>514</v>
      </c>
      <c r="AG145" s="8">
        <v>451</v>
      </c>
      <c r="AH145" s="36">
        <f t="shared" si="54"/>
        <v>965</v>
      </c>
    </row>
    <row r="146" spans="1:34" x14ac:dyDescent="0.3">
      <c r="A146" s="44" t="s">
        <v>201</v>
      </c>
      <c r="B146" s="8">
        <v>799</v>
      </c>
      <c r="C146" s="8">
        <v>486</v>
      </c>
      <c r="D146" s="36">
        <f t="shared" si="44"/>
        <v>1285</v>
      </c>
      <c r="E146" s="8">
        <v>815</v>
      </c>
      <c r="F146" s="8">
        <v>580</v>
      </c>
      <c r="G146" s="36">
        <f t="shared" si="45"/>
        <v>1395</v>
      </c>
      <c r="H146" s="8">
        <v>420</v>
      </c>
      <c r="I146" s="8">
        <v>394</v>
      </c>
      <c r="J146" s="36">
        <f t="shared" si="46"/>
        <v>814</v>
      </c>
      <c r="K146" s="39">
        <v>1585</v>
      </c>
      <c r="L146" s="39">
        <v>1770</v>
      </c>
      <c r="M146" s="36">
        <f t="shared" si="47"/>
        <v>3355</v>
      </c>
      <c r="N146" s="8">
        <v>603</v>
      </c>
      <c r="O146" s="8">
        <v>744</v>
      </c>
      <c r="P146" s="36">
        <f t="shared" si="48"/>
        <v>1347</v>
      </c>
      <c r="Q146" s="8">
        <v>484</v>
      </c>
      <c r="R146" s="8">
        <v>505</v>
      </c>
      <c r="S146" s="36">
        <f t="shared" si="49"/>
        <v>989</v>
      </c>
      <c r="T146" s="8">
        <v>600</v>
      </c>
      <c r="U146" s="8">
        <v>997</v>
      </c>
      <c r="V146" s="36">
        <f t="shared" si="50"/>
        <v>1597</v>
      </c>
      <c r="W146" s="8">
        <v>671</v>
      </c>
      <c r="X146" s="8">
        <v>810</v>
      </c>
      <c r="Y146" s="36">
        <f t="shared" si="51"/>
        <v>1481</v>
      </c>
      <c r="Z146" s="8">
        <v>651</v>
      </c>
      <c r="AA146" s="8">
        <v>754</v>
      </c>
      <c r="AB146" s="36">
        <f t="shared" si="52"/>
        <v>1405</v>
      </c>
      <c r="AC146" s="8">
        <v>414</v>
      </c>
      <c r="AD146" s="8">
        <v>373</v>
      </c>
      <c r="AE146" s="36">
        <f t="shared" si="53"/>
        <v>787</v>
      </c>
      <c r="AF146" s="8">
        <v>801</v>
      </c>
      <c r="AG146" s="8">
        <v>743</v>
      </c>
      <c r="AH146" s="36">
        <f t="shared" si="54"/>
        <v>1544</v>
      </c>
    </row>
    <row r="147" spans="1:34" x14ac:dyDescent="0.3">
      <c r="A147" s="44" t="s">
        <v>202</v>
      </c>
      <c r="B147" s="8">
        <v>397</v>
      </c>
      <c r="C147" s="8">
        <v>451</v>
      </c>
      <c r="D147" s="36">
        <f t="shared" si="44"/>
        <v>848</v>
      </c>
      <c r="E147" s="8">
        <v>465</v>
      </c>
      <c r="F147" s="8">
        <v>497</v>
      </c>
      <c r="G147" s="36">
        <f t="shared" si="45"/>
        <v>962</v>
      </c>
      <c r="H147" s="8">
        <v>264</v>
      </c>
      <c r="I147" s="8">
        <v>319</v>
      </c>
      <c r="J147" s="36">
        <f t="shared" si="46"/>
        <v>583</v>
      </c>
      <c r="K147" s="8">
        <v>607</v>
      </c>
      <c r="L147" s="8">
        <v>768</v>
      </c>
      <c r="M147" s="36">
        <f t="shared" si="47"/>
        <v>1375</v>
      </c>
      <c r="N147" s="8">
        <v>212</v>
      </c>
      <c r="O147" s="8">
        <v>279</v>
      </c>
      <c r="P147" s="36">
        <f t="shared" si="48"/>
        <v>491</v>
      </c>
      <c r="Q147" s="8">
        <v>362</v>
      </c>
      <c r="R147" s="8">
        <v>441</v>
      </c>
      <c r="S147" s="36">
        <f t="shared" si="49"/>
        <v>803</v>
      </c>
      <c r="T147" s="8">
        <v>612</v>
      </c>
      <c r="U147" s="8">
        <v>417</v>
      </c>
      <c r="V147" s="36">
        <f t="shared" si="50"/>
        <v>1029</v>
      </c>
      <c r="W147" s="8">
        <v>389</v>
      </c>
      <c r="X147" s="8">
        <v>233</v>
      </c>
      <c r="Y147" s="36">
        <f t="shared" si="51"/>
        <v>622</v>
      </c>
      <c r="Z147" s="8">
        <v>343</v>
      </c>
      <c r="AA147" s="8">
        <v>456</v>
      </c>
      <c r="AB147" s="36">
        <f t="shared" si="52"/>
        <v>799</v>
      </c>
      <c r="AC147" s="8">
        <v>197</v>
      </c>
      <c r="AD147" s="8">
        <v>167</v>
      </c>
      <c r="AE147" s="36">
        <f t="shared" si="53"/>
        <v>364</v>
      </c>
      <c r="AF147" s="8">
        <v>344</v>
      </c>
      <c r="AG147" s="8">
        <v>368</v>
      </c>
      <c r="AH147" s="36">
        <f t="shared" si="54"/>
        <v>712</v>
      </c>
    </row>
    <row r="148" spans="1:34" x14ac:dyDescent="0.3">
      <c r="A148" s="44" t="s">
        <v>203</v>
      </c>
      <c r="B148" s="8">
        <v>317</v>
      </c>
      <c r="C148" s="8">
        <v>318</v>
      </c>
      <c r="D148" s="36">
        <f t="shared" si="44"/>
        <v>635</v>
      </c>
      <c r="E148" s="8">
        <v>589</v>
      </c>
      <c r="F148" s="8">
        <v>698</v>
      </c>
      <c r="G148" s="36">
        <f t="shared" si="45"/>
        <v>1287</v>
      </c>
      <c r="H148" s="8">
        <v>406</v>
      </c>
      <c r="I148" s="8">
        <v>425</v>
      </c>
      <c r="J148" s="36">
        <f t="shared" si="46"/>
        <v>831</v>
      </c>
      <c r="K148" s="8">
        <v>975</v>
      </c>
      <c r="L148" s="39">
        <v>1254</v>
      </c>
      <c r="M148" s="36">
        <f t="shared" si="47"/>
        <v>2229</v>
      </c>
      <c r="N148" s="8">
        <v>323</v>
      </c>
      <c r="O148" s="8">
        <v>452</v>
      </c>
      <c r="P148" s="36">
        <f t="shared" si="48"/>
        <v>775</v>
      </c>
      <c r="Q148" s="8">
        <v>494</v>
      </c>
      <c r="R148" s="8">
        <v>558</v>
      </c>
      <c r="S148" s="36">
        <f t="shared" si="49"/>
        <v>1052</v>
      </c>
      <c r="T148" s="8">
        <v>582</v>
      </c>
      <c r="U148" s="8">
        <v>770</v>
      </c>
      <c r="V148" s="36">
        <f t="shared" si="50"/>
        <v>1352</v>
      </c>
      <c r="W148" s="8">
        <v>267</v>
      </c>
      <c r="X148" s="8">
        <v>464</v>
      </c>
      <c r="Y148" s="36">
        <f t="shared" si="51"/>
        <v>731</v>
      </c>
      <c r="Z148" s="8">
        <v>588</v>
      </c>
      <c r="AA148" s="8">
        <v>516</v>
      </c>
      <c r="AB148" s="36">
        <f t="shared" si="52"/>
        <v>1104</v>
      </c>
      <c r="AC148" s="8">
        <v>202</v>
      </c>
      <c r="AD148" s="8">
        <v>348</v>
      </c>
      <c r="AE148" s="36">
        <f t="shared" si="53"/>
        <v>550</v>
      </c>
      <c r="AF148" s="8">
        <v>510</v>
      </c>
      <c r="AG148" s="8">
        <v>607</v>
      </c>
      <c r="AH148" s="36">
        <f t="shared" si="54"/>
        <v>1117</v>
      </c>
    </row>
    <row r="149" spans="1:34" x14ac:dyDescent="0.3">
      <c r="A149" s="44" t="s">
        <v>204</v>
      </c>
      <c r="B149" s="8">
        <v>379</v>
      </c>
      <c r="C149" s="8">
        <v>424</v>
      </c>
      <c r="D149" s="36">
        <f t="shared" si="44"/>
        <v>803</v>
      </c>
      <c r="E149" s="8">
        <v>771</v>
      </c>
      <c r="F149" s="8">
        <v>923</v>
      </c>
      <c r="G149" s="36">
        <f t="shared" si="45"/>
        <v>1694</v>
      </c>
      <c r="H149" s="8">
        <v>411</v>
      </c>
      <c r="I149" s="8">
        <v>442</v>
      </c>
      <c r="J149" s="36">
        <f t="shared" si="46"/>
        <v>853</v>
      </c>
      <c r="K149" s="39">
        <v>1024</v>
      </c>
      <c r="L149" s="39">
        <v>1280</v>
      </c>
      <c r="M149" s="36">
        <f t="shared" si="47"/>
        <v>2304</v>
      </c>
      <c r="N149" s="8">
        <v>570</v>
      </c>
      <c r="O149" s="8">
        <v>635</v>
      </c>
      <c r="P149" s="36">
        <f t="shared" si="48"/>
        <v>1205</v>
      </c>
      <c r="Q149" s="8">
        <v>596</v>
      </c>
      <c r="R149" s="8">
        <v>569</v>
      </c>
      <c r="S149" s="36">
        <f t="shared" si="49"/>
        <v>1165</v>
      </c>
      <c r="T149" s="39">
        <v>1050</v>
      </c>
      <c r="U149" s="39">
        <v>1038</v>
      </c>
      <c r="V149" s="36">
        <f t="shared" si="50"/>
        <v>2088</v>
      </c>
      <c r="W149" s="8">
        <v>574</v>
      </c>
      <c r="X149" s="8">
        <v>563</v>
      </c>
      <c r="Y149" s="36">
        <f t="shared" si="51"/>
        <v>1137</v>
      </c>
      <c r="Z149" s="8">
        <v>482</v>
      </c>
      <c r="AA149" s="8">
        <v>454</v>
      </c>
      <c r="AB149" s="36">
        <f t="shared" si="52"/>
        <v>936</v>
      </c>
      <c r="AC149" s="8">
        <v>254</v>
      </c>
      <c r="AD149" s="8">
        <v>244</v>
      </c>
      <c r="AE149" s="36">
        <f t="shared" si="53"/>
        <v>498</v>
      </c>
      <c r="AF149" s="8">
        <v>624</v>
      </c>
      <c r="AG149" s="8">
        <v>892</v>
      </c>
      <c r="AH149" s="36">
        <f t="shared" si="54"/>
        <v>1516</v>
      </c>
    </row>
    <row r="150" spans="1:34" x14ac:dyDescent="0.3">
      <c r="A150" s="44" t="s">
        <v>205</v>
      </c>
      <c r="B150" s="8">
        <v>161</v>
      </c>
      <c r="C150" s="8">
        <v>511</v>
      </c>
      <c r="D150" s="36">
        <f t="shared" si="44"/>
        <v>672</v>
      </c>
      <c r="E150" s="8">
        <v>764</v>
      </c>
      <c r="F150" s="8">
        <v>581</v>
      </c>
      <c r="G150" s="36">
        <f t="shared" si="45"/>
        <v>1345</v>
      </c>
      <c r="H150" s="8">
        <v>187</v>
      </c>
      <c r="I150" s="8">
        <v>249</v>
      </c>
      <c r="J150" s="36">
        <f t="shared" si="46"/>
        <v>436</v>
      </c>
      <c r="K150" s="8">
        <v>553</v>
      </c>
      <c r="L150" s="8">
        <v>647</v>
      </c>
      <c r="M150" s="36">
        <f t="shared" si="47"/>
        <v>1200</v>
      </c>
      <c r="N150" s="8">
        <v>227</v>
      </c>
      <c r="O150" s="8">
        <v>363</v>
      </c>
      <c r="P150" s="36">
        <f t="shared" si="48"/>
        <v>590</v>
      </c>
      <c r="Q150" s="8">
        <v>450</v>
      </c>
      <c r="R150" s="8">
        <v>339</v>
      </c>
      <c r="S150" s="36">
        <f t="shared" si="49"/>
        <v>789</v>
      </c>
      <c r="T150" s="8">
        <v>359</v>
      </c>
      <c r="U150" s="8">
        <v>582</v>
      </c>
      <c r="V150" s="36">
        <f t="shared" si="50"/>
        <v>941</v>
      </c>
      <c r="W150" s="8">
        <v>232</v>
      </c>
      <c r="X150" s="8">
        <v>428</v>
      </c>
      <c r="Y150" s="36">
        <f t="shared" si="51"/>
        <v>660</v>
      </c>
      <c r="Z150" s="8">
        <v>143</v>
      </c>
      <c r="AA150" s="8">
        <v>337</v>
      </c>
      <c r="AB150" s="36">
        <f t="shared" si="52"/>
        <v>480</v>
      </c>
      <c r="AC150" s="8">
        <v>72</v>
      </c>
      <c r="AD150" s="8">
        <v>192</v>
      </c>
      <c r="AE150" s="36">
        <f t="shared" si="53"/>
        <v>264</v>
      </c>
      <c r="AF150" s="8">
        <v>394</v>
      </c>
      <c r="AG150" s="8">
        <v>541</v>
      </c>
      <c r="AH150" s="36">
        <f t="shared" si="54"/>
        <v>935</v>
      </c>
    </row>
    <row r="151" spans="1:34" x14ac:dyDescent="0.3">
      <c r="A151" s="44" t="s">
        <v>206</v>
      </c>
      <c r="B151" s="8">
        <v>125</v>
      </c>
      <c r="C151" s="8">
        <v>203</v>
      </c>
      <c r="D151" s="36">
        <f t="shared" si="44"/>
        <v>328</v>
      </c>
      <c r="E151" s="8">
        <v>190</v>
      </c>
      <c r="F151" s="8">
        <v>284</v>
      </c>
      <c r="G151" s="36">
        <f t="shared" si="45"/>
        <v>474</v>
      </c>
      <c r="H151" s="8">
        <v>66</v>
      </c>
      <c r="I151" s="8">
        <v>128</v>
      </c>
      <c r="J151" s="36">
        <f t="shared" si="46"/>
        <v>194</v>
      </c>
      <c r="K151" s="8">
        <v>253</v>
      </c>
      <c r="L151" s="8">
        <v>618</v>
      </c>
      <c r="M151" s="36">
        <f t="shared" si="47"/>
        <v>871</v>
      </c>
      <c r="N151" s="8">
        <v>153</v>
      </c>
      <c r="O151" s="8">
        <v>200</v>
      </c>
      <c r="P151" s="36">
        <f t="shared" si="48"/>
        <v>353</v>
      </c>
      <c r="Q151" s="8">
        <v>156</v>
      </c>
      <c r="R151" s="8">
        <v>174</v>
      </c>
      <c r="S151" s="36">
        <f t="shared" si="49"/>
        <v>330</v>
      </c>
      <c r="T151" s="8">
        <v>324</v>
      </c>
      <c r="U151" s="8">
        <v>414</v>
      </c>
      <c r="V151" s="36">
        <f t="shared" si="50"/>
        <v>738</v>
      </c>
      <c r="W151" s="8">
        <v>195</v>
      </c>
      <c r="X151" s="8">
        <v>231</v>
      </c>
      <c r="Y151" s="36">
        <f t="shared" si="51"/>
        <v>426</v>
      </c>
      <c r="Z151" s="8">
        <v>114</v>
      </c>
      <c r="AA151" s="8">
        <v>227</v>
      </c>
      <c r="AB151" s="36">
        <f t="shared" si="52"/>
        <v>341</v>
      </c>
      <c r="AC151" s="8">
        <v>51</v>
      </c>
      <c r="AD151" s="8">
        <v>118</v>
      </c>
      <c r="AE151" s="36">
        <f t="shared" si="53"/>
        <v>169</v>
      </c>
      <c r="AF151" s="8">
        <v>290</v>
      </c>
      <c r="AG151" s="8">
        <v>310</v>
      </c>
      <c r="AH151" s="36">
        <f t="shared" si="54"/>
        <v>600</v>
      </c>
    </row>
    <row r="152" spans="1:34" x14ac:dyDescent="0.3">
      <c r="A152" s="44" t="s">
        <v>207</v>
      </c>
      <c r="B152" s="8">
        <v>130</v>
      </c>
      <c r="C152" s="8">
        <v>95</v>
      </c>
      <c r="D152" s="36">
        <f t="shared" si="44"/>
        <v>225</v>
      </c>
      <c r="E152" s="8">
        <v>264</v>
      </c>
      <c r="F152" s="8">
        <v>331</v>
      </c>
      <c r="G152" s="36">
        <f t="shared" si="45"/>
        <v>595</v>
      </c>
      <c r="H152" s="8">
        <v>144</v>
      </c>
      <c r="I152" s="8">
        <v>166</v>
      </c>
      <c r="J152" s="36">
        <f t="shared" si="46"/>
        <v>310</v>
      </c>
      <c r="K152" s="8">
        <v>415</v>
      </c>
      <c r="L152" s="8">
        <v>453</v>
      </c>
      <c r="M152" s="36">
        <f t="shared" si="47"/>
        <v>868</v>
      </c>
      <c r="N152" s="8">
        <v>140</v>
      </c>
      <c r="O152" s="8">
        <v>473</v>
      </c>
      <c r="P152" s="36">
        <f t="shared" si="48"/>
        <v>613</v>
      </c>
      <c r="Q152" s="8">
        <v>445</v>
      </c>
      <c r="R152" s="8">
        <v>554</v>
      </c>
      <c r="S152" s="36">
        <f t="shared" si="49"/>
        <v>999</v>
      </c>
      <c r="T152" s="8">
        <v>491</v>
      </c>
      <c r="U152" s="8">
        <v>772</v>
      </c>
      <c r="V152" s="36">
        <f t="shared" si="50"/>
        <v>1263</v>
      </c>
      <c r="W152" s="8">
        <v>211</v>
      </c>
      <c r="X152" s="8">
        <v>433</v>
      </c>
      <c r="Y152" s="36">
        <f t="shared" si="51"/>
        <v>644</v>
      </c>
      <c r="Z152" s="8">
        <v>185</v>
      </c>
      <c r="AA152" s="8">
        <v>350</v>
      </c>
      <c r="AB152" s="36">
        <f t="shared" si="52"/>
        <v>535</v>
      </c>
      <c r="AC152" s="8">
        <v>208</v>
      </c>
      <c r="AD152" s="8">
        <v>316</v>
      </c>
      <c r="AE152" s="36">
        <f t="shared" si="53"/>
        <v>524</v>
      </c>
      <c r="AF152" s="8">
        <v>397</v>
      </c>
      <c r="AG152" s="8">
        <v>741</v>
      </c>
      <c r="AH152" s="36">
        <f t="shared" si="54"/>
        <v>1138</v>
      </c>
    </row>
    <row r="154" spans="1:34" s="70" customFormat="1" x14ac:dyDescent="0.3">
      <c r="A154" s="80" t="s">
        <v>267</v>
      </c>
      <c r="D154" s="80"/>
      <c r="G154" s="80"/>
      <c r="J154" s="80"/>
      <c r="M154" s="80"/>
      <c r="P154" s="80"/>
      <c r="S154" s="80"/>
      <c r="V154" s="80"/>
      <c r="Y154" s="80"/>
      <c r="AB154" s="80"/>
      <c r="AE154" s="80"/>
      <c r="AH154" s="80"/>
    </row>
    <row r="155" spans="1:34" s="70" customFormat="1" x14ac:dyDescent="0.3">
      <c r="A155" s="164"/>
      <c r="B155" s="174">
        <v>90802</v>
      </c>
      <c r="C155" s="174"/>
      <c r="D155" s="81"/>
      <c r="E155" s="174">
        <v>90803</v>
      </c>
      <c r="F155" s="174"/>
      <c r="G155" s="81"/>
      <c r="H155" s="174">
        <v>90804</v>
      </c>
      <c r="I155" s="174"/>
      <c r="J155" s="81"/>
      <c r="K155" s="174">
        <v>90805</v>
      </c>
      <c r="L155" s="174"/>
      <c r="M155" s="81"/>
      <c r="N155" s="174">
        <v>90806</v>
      </c>
      <c r="O155" s="174"/>
      <c r="P155" s="81"/>
      <c r="Q155" s="174">
        <v>90807</v>
      </c>
      <c r="R155" s="174"/>
      <c r="S155" s="81"/>
      <c r="T155" s="174">
        <v>90808</v>
      </c>
      <c r="U155" s="174"/>
      <c r="V155" s="81"/>
      <c r="W155" s="174">
        <v>90810</v>
      </c>
      <c r="X155" s="174"/>
      <c r="Y155" s="81"/>
      <c r="Z155" s="174">
        <v>90813</v>
      </c>
      <c r="AA155" s="174"/>
      <c r="AB155" s="81"/>
      <c r="AC155" s="174">
        <v>90814</v>
      </c>
      <c r="AD155" s="174"/>
      <c r="AE155" s="81"/>
      <c r="AF155" s="174">
        <v>90815</v>
      </c>
      <c r="AG155" s="174"/>
      <c r="AH155" s="81"/>
    </row>
    <row r="156" spans="1:34" s="70" customFormat="1" x14ac:dyDescent="0.3">
      <c r="A156" s="60"/>
      <c r="B156" s="163" t="s">
        <v>81</v>
      </c>
      <c r="C156" s="163" t="s">
        <v>82</v>
      </c>
      <c r="D156" s="82" t="s">
        <v>83</v>
      </c>
      <c r="E156" s="163" t="s">
        <v>81</v>
      </c>
      <c r="F156" s="163" t="s">
        <v>82</v>
      </c>
      <c r="G156" s="82" t="s">
        <v>83</v>
      </c>
      <c r="H156" s="163" t="s">
        <v>81</v>
      </c>
      <c r="I156" s="163" t="s">
        <v>82</v>
      </c>
      <c r="J156" s="82" t="s">
        <v>83</v>
      </c>
      <c r="K156" s="163" t="s">
        <v>81</v>
      </c>
      <c r="L156" s="163" t="s">
        <v>82</v>
      </c>
      <c r="M156" s="82" t="s">
        <v>83</v>
      </c>
      <c r="N156" s="163" t="s">
        <v>81</v>
      </c>
      <c r="O156" s="163" t="s">
        <v>82</v>
      </c>
      <c r="P156" s="82" t="s">
        <v>83</v>
      </c>
      <c r="Q156" s="163" t="s">
        <v>81</v>
      </c>
      <c r="R156" s="163" t="s">
        <v>82</v>
      </c>
      <c r="S156" s="82" t="s">
        <v>83</v>
      </c>
      <c r="T156" s="163" t="s">
        <v>81</v>
      </c>
      <c r="U156" s="163" t="s">
        <v>82</v>
      </c>
      <c r="V156" s="82" t="s">
        <v>83</v>
      </c>
      <c r="W156" s="163" t="s">
        <v>81</v>
      </c>
      <c r="X156" s="163" t="s">
        <v>82</v>
      </c>
      <c r="Y156" s="82" t="s">
        <v>83</v>
      </c>
      <c r="Z156" s="163" t="s">
        <v>81</v>
      </c>
      <c r="AA156" s="163" t="s">
        <v>82</v>
      </c>
      <c r="AB156" s="82" t="s">
        <v>83</v>
      </c>
      <c r="AC156" s="163" t="s">
        <v>81</v>
      </c>
      <c r="AD156" s="163" t="s">
        <v>82</v>
      </c>
      <c r="AE156" s="82" t="s">
        <v>83</v>
      </c>
      <c r="AF156" s="163" t="s">
        <v>81</v>
      </c>
      <c r="AG156" s="163" t="s">
        <v>304</v>
      </c>
      <c r="AH156" s="82" t="s">
        <v>83</v>
      </c>
    </row>
    <row r="157" spans="1:34" s="70" customFormat="1" x14ac:dyDescent="0.3">
      <c r="A157" s="60" t="s">
        <v>83</v>
      </c>
      <c r="B157" s="61">
        <v>20487</v>
      </c>
      <c r="C157" s="61">
        <v>18549</v>
      </c>
      <c r="D157" s="80">
        <f>SUM(B157:C157)</f>
        <v>39036</v>
      </c>
      <c r="E157" s="61">
        <v>16515</v>
      </c>
      <c r="F157" s="61">
        <v>16116</v>
      </c>
      <c r="G157" s="80">
        <f>SUM(E157:F157)</f>
        <v>32631</v>
      </c>
      <c r="H157" s="61">
        <v>18825</v>
      </c>
      <c r="I157" s="61">
        <v>19128</v>
      </c>
      <c r="J157" s="80">
        <f>SUM(H157:I157)</f>
        <v>37953</v>
      </c>
      <c r="K157" s="61">
        <v>46022</v>
      </c>
      <c r="L157" s="61">
        <v>50818</v>
      </c>
      <c r="M157" s="80">
        <f>SUM(K157:L157)</f>
        <v>96840</v>
      </c>
      <c r="N157" s="61">
        <v>21084</v>
      </c>
      <c r="O157" s="61">
        <v>20487</v>
      </c>
      <c r="P157" s="80">
        <f>SUM(N157:O157)</f>
        <v>41571</v>
      </c>
      <c r="Q157" s="61">
        <v>15973</v>
      </c>
      <c r="R157" s="61">
        <v>17021</v>
      </c>
      <c r="S157" s="80">
        <f>SUM(Q157:R157)</f>
        <v>32994</v>
      </c>
      <c r="T157" s="61">
        <v>19507</v>
      </c>
      <c r="U157" s="61">
        <v>20216</v>
      </c>
      <c r="V157" s="80">
        <f>SUM(T157:U157)</f>
        <v>39723</v>
      </c>
      <c r="W157" s="61">
        <v>18246</v>
      </c>
      <c r="X157" s="61">
        <v>19205</v>
      </c>
      <c r="Y157" s="80">
        <f>SUM(W157:X157)</f>
        <v>37451</v>
      </c>
      <c r="Z157" s="61">
        <v>28215</v>
      </c>
      <c r="AA157" s="61">
        <v>28205</v>
      </c>
      <c r="AB157" s="80">
        <f>SUM(Z157:AA157)</f>
        <v>56420</v>
      </c>
      <c r="AC157" s="61">
        <v>9014</v>
      </c>
      <c r="AD157" s="61">
        <v>10152</v>
      </c>
      <c r="AE157" s="80">
        <f>SUM(AC157:AD157)</f>
        <v>19166</v>
      </c>
      <c r="AF157" s="61">
        <v>20949</v>
      </c>
      <c r="AG157" s="61">
        <v>22143</v>
      </c>
      <c r="AH157" s="80">
        <f>SUM(AF157:AG157)</f>
        <v>43092</v>
      </c>
    </row>
    <row r="158" spans="1:34" x14ac:dyDescent="0.3">
      <c r="A158" s="44" t="s">
        <v>185</v>
      </c>
      <c r="B158" s="44">
        <v>684</v>
      </c>
      <c r="C158" s="44">
        <v>717</v>
      </c>
      <c r="D158" s="36">
        <f t="shared" ref="D158:D180" si="55">SUM(B158:C158)</f>
        <v>1401</v>
      </c>
      <c r="E158" s="44">
        <v>498</v>
      </c>
      <c r="F158" s="44">
        <v>620</v>
      </c>
      <c r="G158" s="36">
        <f t="shared" ref="G158:G180" si="56">SUM(E158:F158)</f>
        <v>1118</v>
      </c>
      <c r="H158" s="44">
        <v>995</v>
      </c>
      <c r="I158" s="46">
        <v>1173</v>
      </c>
      <c r="J158" s="36">
        <f t="shared" ref="J158:J180" si="57">SUM(H158:I158)</f>
        <v>2168</v>
      </c>
      <c r="K158" s="46">
        <v>3324</v>
      </c>
      <c r="L158" s="46">
        <v>3971</v>
      </c>
      <c r="M158" s="36">
        <f t="shared" ref="M158:M180" si="58">SUM(K158:L158)</f>
        <v>7295</v>
      </c>
      <c r="N158" s="46">
        <v>1536</v>
      </c>
      <c r="O158" s="46">
        <v>1266</v>
      </c>
      <c r="P158" s="36">
        <f t="shared" ref="P158:P180" si="59">SUM(N158:O158)</f>
        <v>2802</v>
      </c>
      <c r="Q158" s="44">
        <v>866</v>
      </c>
      <c r="R158" s="44">
        <v>704</v>
      </c>
      <c r="S158" s="36">
        <f t="shared" ref="S158:S180" si="60">SUM(Q158:R158)</f>
        <v>1570</v>
      </c>
      <c r="T158" s="46">
        <v>1030</v>
      </c>
      <c r="U158" s="46">
        <v>1186</v>
      </c>
      <c r="V158" s="36">
        <f t="shared" ref="V158:V180" si="61">SUM(T158:U158)</f>
        <v>2216</v>
      </c>
      <c r="W158" s="46">
        <v>1031</v>
      </c>
      <c r="X158" s="44">
        <v>857</v>
      </c>
      <c r="Y158" s="36">
        <f t="shared" ref="Y158:Y180" si="62">SUM(W158:X158)</f>
        <v>1888</v>
      </c>
      <c r="Z158" s="46">
        <v>1862</v>
      </c>
      <c r="AA158" s="46">
        <v>2167</v>
      </c>
      <c r="AB158" s="36">
        <f t="shared" ref="AB158:AB180" si="63">SUM(Z158:AA158)</f>
        <v>4029</v>
      </c>
      <c r="AC158" s="44">
        <v>476</v>
      </c>
      <c r="AD158" s="44">
        <v>631</v>
      </c>
      <c r="AE158" s="36">
        <f t="shared" ref="AE158:AE180" si="64">SUM(AC158:AD158)</f>
        <v>1107</v>
      </c>
      <c r="AF158" s="46">
        <v>1333</v>
      </c>
      <c r="AG158" s="46">
        <v>1294</v>
      </c>
      <c r="AH158" s="36">
        <f t="shared" ref="AH158:AH180" si="65">SUM(AF158:AG158)</f>
        <v>2627</v>
      </c>
    </row>
    <row r="159" spans="1:34" x14ac:dyDescent="0.3">
      <c r="A159" s="44" t="s">
        <v>186</v>
      </c>
      <c r="B159" s="44">
        <v>797</v>
      </c>
      <c r="C159" s="44">
        <v>442</v>
      </c>
      <c r="D159" s="36">
        <f t="shared" si="55"/>
        <v>1239</v>
      </c>
      <c r="E159" s="44">
        <v>302</v>
      </c>
      <c r="F159" s="44">
        <v>382</v>
      </c>
      <c r="G159" s="36">
        <f t="shared" si="56"/>
        <v>684</v>
      </c>
      <c r="H159" s="46">
        <v>1068</v>
      </c>
      <c r="I159" s="44">
        <v>853</v>
      </c>
      <c r="J159" s="36">
        <f t="shared" si="57"/>
        <v>1921</v>
      </c>
      <c r="K159" s="46">
        <v>3520</v>
      </c>
      <c r="L159" s="46">
        <v>3254</v>
      </c>
      <c r="M159" s="36">
        <f t="shared" si="58"/>
        <v>6774</v>
      </c>
      <c r="N159" s="46">
        <v>1691</v>
      </c>
      <c r="O159" s="46">
        <v>1109</v>
      </c>
      <c r="P159" s="36">
        <f t="shared" si="59"/>
        <v>2800</v>
      </c>
      <c r="Q159" s="44">
        <v>813</v>
      </c>
      <c r="R159" s="44">
        <v>755</v>
      </c>
      <c r="S159" s="36">
        <f t="shared" si="60"/>
        <v>1568</v>
      </c>
      <c r="T159" s="46">
        <v>1426</v>
      </c>
      <c r="U159" s="46">
        <v>1126</v>
      </c>
      <c r="V159" s="36">
        <f t="shared" si="61"/>
        <v>2552</v>
      </c>
      <c r="W159" s="46">
        <v>1239</v>
      </c>
      <c r="X159" s="46">
        <v>1338</v>
      </c>
      <c r="Y159" s="36">
        <f t="shared" si="62"/>
        <v>2577</v>
      </c>
      <c r="Z159" s="46">
        <v>2311</v>
      </c>
      <c r="AA159" s="46">
        <v>2141</v>
      </c>
      <c r="AB159" s="36">
        <f t="shared" si="63"/>
        <v>4452</v>
      </c>
      <c r="AC159" s="44">
        <v>334</v>
      </c>
      <c r="AD159" s="44">
        <v>463</v>
      </c>
      <c r="AE159" s="36">
        <f t="shared" si="64"/>
        <v>797</v>
      </c>
      <c r="AF159" s="44">
        <v>954</v>
      </c>
      <c r="AG159" s="44">
        <v>707</v>
      </c>
      <c r="AH159" s="36">
        <f t="shared" si="65"/>
        <v>1661</v>
      </c>
    </row>
    <row r="160" spans="1:34" x14ac:dyDescent="0.3">
      <c r="A160" s="44" t="s">
        <v>187</v>
      </c>
      <c r="B160" s="44">
        <v>823</v>
      </c>
      <c r="C160" s="44">
        <v>739</v>
      </c>
      <c r="D160" s="36">
        <f t="shared" si="55"/>
        <v>1562</v>
      </c>
      <c r="E160" s="44">
        <v>487</v>
      </c>
      <c r="F160" s="44">
        <v>542</v>
      </c>
      <c r="G160" s="36">
        <f t="shared" si="56"/>
        <v>1029</v>
      </c>
      <c r="H160" s="46">
        <v>1228</v>
      </c>
      <c r="I160" s="44">
        <v>937</v>
      </c>
      <c r="J160" s="36">
        <f t="shared" si="57"/>
        <v>2165</v>
      </c>
      <c r="K160" s="46">
        <v>3933</v>
      </c>
      <c r="L160" s="46">
        <v>2966</v>
      </c>
      <c r="M160" s="36">
        <f t="shared" si="58"/>
        <v>6899</v>
      </c>
      <c r="N160" s="46">
        <v>1423</v>
      </c>
      <c r="O160" s="46">
        <v>1474</v>
      </c>
      <c r="P160" s="36">
        <f t="shared" si="59"/>
        <v>2897</v>
      </c>
      <c r="Q160" s="46">
        <v>1125</v>
      </c>
      <c r="R160" s="46">
        <v>1006</v>
      </c>
      <c r="S160" s="36">
        <f t="shared" si="60"/>
        <v>2131</v>
      </c>
      <c r="T160" s="46">
        <v>1589</v>
      </c>
      <c r="U160" s="46">
        <v>1147</v>
      </c>
      <c r="V160" s="36">
        <f t="shared" si="61"/>
        <v>2736</v>
      </c>
      <c r="W160" s="46">
        <v>1262</v>
      </c>
      <c r="X160" s="46">
        <v>1277</v>
      </c>
      <c r="Y160" s="36">
        <f t="shared" si="62"/>
        <v>2539</v>
      </c>
      <c r="Z160" s="46">
        <v>2683</v>
      </c>
      <c r="AA160" s="46">
        <v>1944</v>
      </c>
      <c r="AB160" s="36">
        <f t="shared" si="63"/>
        <v>4627</v>
      </c>
      <c r="AC160" s="44">
        <v>461</v>
      </c>
      <c r="AD160" s="44">
        <v>286</v>
      </c>
      <c r="AE160" s="36">
        <f t="shared" si="64"/>
        <v>747</v>
      </c>
      <c r="AF160" s="46">
        <v>1408</v>
      </c>
      <c r="AG160" s="46">
        <v>1491</v>
      </c>
      <c r="AH160" s="36">
        <f t="shared" si="65"/>
        <v>2899</v>
      </c>
    </row>
    <row r="161" spans="1:34" x14ac:dyDescent="0.3">
      <c r="A161" s="44" t="s">
        <v>188</v>
      </c>
      <c r="B161" s="44">
        <v>448</v>
      </c>
      <c r="C161" s="44">
        <v>528</v>
      </c>
      <c r="D161" s="36">
        <f t="shared" si="55"/>
        <v>976</v>
      </c>
      <c r="E161" s="44">
        <v>604</v>
      </c>
      <c r="F161" s="44">
        <v>247</v>
      </c>
      <c r="G161" s="36">
        <f t="shared" si="56"/>
        <v>851</v>
      </c>
      <c r="H161" s="44">
        <v>511</v>
      </c>
      <c r="I161" s="44">
        <v>365</v>
      </c>
      <c r="J161" s="36">
        <f t="shared" si="57"/>
        <v>876</v>
      </c>
      <c r="K161" s="46">
        <v>2004</v>
      </c>
      <c r="L161" s="46">
        <v>2342</v>
      </c>
      <c r="M161" s="36">
        <f t="shared" si="58"/>
        <v>4346</v>
      </c>
      <c r="N161" s="44">
        <v>817</v>
      </c>
      <c r="O161" s="44">
        <v>566</v>
      </c>
      <c r="P161" s="36">
        <f t="shared" si="59"/>
        <v>1383</v>
      </c>
      <c r="Q161" s="44">
        <v>526</v>
      </c>
      <c r="R161" s="44">
        <v>459</v>
      </c>
      <c r="S161" s="36">
        <f t="shared" si="60"/>
        <v>985</v>
      </c>
      <c r="T161" s="44">
        <v>613</v>
      </c>
      <c r="U161" s="44">
        <v>709</v>
      </c>
      <c r="V161" s="36">
        <f t="shared" si="61"/>
        <v>1322</v>
      </c>
      <c r="W161" s="44">
        <v>867</v>
      </c>
      <c r="X161" s="44">
        <v>908</v>
      </c>
      <c r="Y161" s="36">
        <f t="shared" si="62"/>
        <v>1775</v>
      </c>
      <c r="Z161" s="46">
        <v>1065</v>
      </c>
      <c r="AA161" s="46">
        <v>1330</v>
      </c>
      <c r="AB161" s="36">
        <f t="shared" si="63"/>
        <v>2395</v>
      </c>
      <c r="AC161" s="44">
        <v>248</v>
      </c>
      <c r="AD161" s="44">
        <v>141</v>
      </c>
      <c r="AE161" s="36">
        <f t="shared" si="64"/>
        <v>389</v>
      </c>
      <c r="AF161" s="44">
        <v>757</v>
      </c>
      <c r="AG161" s="44">
        <v>630</v>
      </c>
      <c r="AH161" s="36">
        <f t="shared" si="65"/>
        <v>1387</v>
      </c>
    </row>
    <row r="162" spans="1:34" x14ac:dyDescent="0.3">
      <c r="A162" s="44" t="s">
        <v>189</v>
      </c>
      <c r="B162" s="44">
        <v>395</v>
      </c>
      <c r="C162" s="44">
        <v>192</v>
      </c>
      <c r="D162" s="36">
        <f t="shared" si="55"/>
        <v>587</v>
      </c>
      <c r="E162" s="44">
        <v>342</v>
      </c>
      <c r="F162" s="44">
        <v>280</v>
      </c>
      <c r="G162" s="36">
        <f t="shared" si="56"/>
        <v>622</v>
      </c>
      <c r="H162" s="44">
        <v>549</v>
      </c>
      <c r="I162" s="44">
        <v>721</v>
      </c>
      <c r="J162" s="36">
        <f t="shared" si="57"/>
        <v>1270</v>
      </c>
      <c r="K162" s="46">
        <v>1124</v>
      </c>
      <c r="L162" s="46">
        <v>1657</v>
      </c>
      <c r="M162" s="36">
        <f t="shared" si="58"/>
        <v>2781</v>
      </c>
      <c r="N162" s="44">
        <v>494</v>
      </c>
      <c r="O162" s="44">
        <v>481</v>
      </c>
      <c r="P162" s="36">
        <f t="shared" si="59"/>
        <v>975</v>
      </c>
      <c r="Q162" s="44">
        <v>388</v>
      </c>
      <c r="R162" s="44">
        <v>388</v>
      </c>
      <c r="S162" s="36">
        <f t="shared" si="60"/>
        <v>776</v>
      </c>
      <c r="T162" s="44">
        <v>362</v>
      </c>
      <c r="U162" s="44">
        <v>324</v>
      </c>
      <c r="V162" s="36">
        <f t="shared" si="61"/>
        <v>686</v>
      </c>
      <c r="W162" s="44">
        <v>741</v>
      </c>
      <c r="X162" s="44">
        <v>610</v>
      </c>
      <c r="Y162" s="36">
        <f t="shared" si="62"/>
        <v>1351</v>
      </c>
      <c r="Z162" s="46">
        <v>1015</v>
      </c>
      <c r="AA162" s="44">
        <v>897</v>
      </c>
      <c r="AB162" s="36">
        <f t="shared" si="63"/>
        <v>1912</v>
      </c>
      <c r="AC162" s="44">
        <v>38</v>
      </c>
      <c r="AD162" s="44">
        <v>45</v>
      </c>
      <c r="AE162" s="36">
        <f t="shared" si="64"/>
        <v>83</v>
      </c>
      <c r="AF162" s="46">
        <v>1011</v>
      </c>
      <c r="AG162" s="46">
        <v>1147</v>
      </c>
      <c r="AH162" s="36">
        <f t="shared" si="65"/>
        <v>2158</v>
      </c>
    </row>
    <row r="163" spans="1:34" x14ac:dyDescent="0.3">
      <c r="A163" s="44" t="s">
        <v>190</v>
      </c>
      <c r="B163" s="44">
        <v>67</v>
      </c>
      <c r="C163" s="44">
        <v>214</v>
      </c>
      <c r="D163" s="36">
        <f t="shared" si="55"/>
        <v>281</v>
      </c>
      <c r="E163" s="44">
        <v>24</v>
      </c>
      <c r="F163" s="44">
        <v>97</v>
      </c>
      <c r="G163" s="36">
        <f t="shared" si="56"/>
        <v>121</v>
      </c>
      <c r="H163" s="44">
        <v>217</v>
      </c>
      <c r="I163" s="44">
        <v>407</v>
      </c>
      <c r="J163" s="36">
        <f t="shared" si="57"/>
        <v>624</v>
      </c>
      <c r="K163" s="44">
        <v>735</v>
      </c>
      <c r="L163" s="44">
        <v>534</v>
      </c>
      <c r="M163" s="36">
        <f t="shared" si="58"/>
        <v>1269</v>
      </c>
      <c r="N163" s="44">
        <v>421</v>
      </c>
      <c r="O163" s="44">
        <v>436</v>
      </c>
      <c r="P163" s="36">
        <f t="shared" si="59"/>
        <v>857</v>
      </c>
      <c r="Q163" s="44">
        <v>84</v>
      </c>
      <c r="R163" s="44">
        <v>266</v>
      </c>
      <c r="S163" s="36">
        <f t="shared" si="60"/>
        <v>350</v>
      </c>
      <c r="T163" s="44">
        <v>96</v>
      </c>
      <c r="U163" s="44">
        <v>122</v>
      </c>
      <c r="V163" s="36">
        <f t="shared" si="61"/>
        <v>218</v>
      </c>
      <c r="W163" s="44">
        <v>242</v>
      </c>
      <c r="X163" s="44">
        <v>217</v>
      </c>
      <c r="Y163" s="36">
        <f t="shared" si="62"/>
        <v>459</v>
      </c>
      <c r="Z163" s="44">
        <v>481</v>
      </c>
      <c r="AA163" s="44">
        <v>444</v>
      </c>
      <c r="AB163" s="36">
        <f t="shared" si="63"/>
        <v>925</v>
      </c>
      <c r="AC163" s="44">
        <v>12</v>
      </c>
      <c r="AD163" s="44">
        <v>78</v>
      </c>
      <c r="AE163" s="36">
        <f t="shared" si="64"/>
        <v>90</v>
      </c>
      <c r="AF163" s="44">
        <v>398</v>
      </c>
      <c r="AG163" s="44">
        <v>616</v>
      </c>
      <c r="AH163" s="36">
        <f t="shared" si="65"/>
        <v>1014</v>
      </c>
    </row>
    <row r="164" spans="1:34" x14ac:dyDescent="0.3">
      <c r="A164" s="44" t="s">
        <v>191</v>
      </c>
      <c r="B164" s="44">
        <v>211</v>
      </c>
      <c r="C164" s="44">
        <v>279</v>
      </c>
      <c r="D164" s="36">
        <f t="shared" si="55"/>
        <v>490</v>
      </c>
      <c r="E164" s="44">
        <v>51</v>
      </c>
      <c r="F164" s="44">
        <v>158</v>
      </c>
      <c r="G164" s="36">
        <f t="shared" si="56"/>
        <v>209</v>
      </c>
      <c r="H164" s="44">
        <v>589</v>
      </c>
      <c r="I164" s="44">
        <v>208</v>
      </c>
      <c r="J164" s="36">
        <f t="shared" si="57"/>
        <v>797</v>
      </c>
      <c r="K164" s="44">
        <v>858</v>
      </c>
      <c r="L164" s="44">
        <v>824</v>
      </c>
      <c r="M164" s="36">
        <f t="shared" si="58"/>
        <v>1682</v>
      </c>
      <c r="N164" s="44">
        <v>366</v>
      </c>
      <c r="O164" s="44">
        <v>145</v>
      </c>
      <c r="P164" s="36">
        <f t="shared" si="59"/>
        <v>511</v>
      </c>
      <c r="Q164" s="44">
        <v>159</v>
      </c>
      <c r="R164" s="44">
        <v>171</v>
      </c>
      <c r="S164" s="36">
        <f t="shared" si="60"/>
        <v>330</v>
      </c>
      <c r="T164" s="44">
        <v>92</v>
      </c>
      <c r="U164" s="44">
        <v>134</v>
      </c>
      <c r="V164" s="36">
        <f t="shared" si="61"/>
        <v>226</v>
      </c>
      <c r="W164" s="44">
        <v>344</v>
      </c>
      <c r="X164" s="44">
        <v>445</v>
      </c>
      <c r="Y164" s="36">
        <f t="shared" si="62"/>
        <v>789</v>
      </c>
      <c r="Z164" s="44">
        <v>571</v>
      </c>
      <c r="AA164" s="44">
        <v>517</v>
      </c>
      <c r="AB164" s="36">
        <f t="shared" si="63"/>
        <v>1088</v>
      </c>
      <c r="AC164" s="44">
        <v>48</v>
      </c>
      <c r="AD164" s="44">
        <v>39</v>
      </c>
      <c r="AE164" s="36">
        <f t="shared" si="64"/>
        <v>87</v>
      </c>
      <c r="AF164" s="44">
        <v>424</v>
      </c>
      <c r="AG164" s="44">
        <v>502</v>
      </c>
      <c r="AH164" s="36">
        <f t="shared" si="65"/>
        <v>926</v>
      </c>
    </row>
    <row r="165" spans="1:34" x14ac:dyDescent="0.3">
      <c r="A165" s="44" t="s">
        <v>192</v>
      </c>
      <c r="B165" s="44">
        <v>888</v>
      </c>
      <c r="C165" s="46">
        <v>1165</v>
      </c>
      <c r="D165" s="36">
        <f t="shared" si="55"/>
        <v>2053</v>
      </c>
      <c r="E165" s="44">
        <v>395</v>
      </c>
      <c r="F165" s="44">
        <v>571</v>
      </c>
      <c r="G165" s="36">
        <f t="shared" si="56"/>
        <v>966</v>
      </c>
      <c r="H165" s="44">
        <v>814</v>
      </c>
      <c r="I165" s="44">
        <v>834</v>
      </c>
      <c r="J165" s="36">
        <f t="shared" si="57"/>
        <v>1648</v>
      </c>
      <c r="K165" s="46">
        <v>2101</v>
      </c>
      <c r="L165" s="46">
        <v>2434</v>
      </c>
      <c r="M165" s="36">
        <f t="shared" si="58"/>
        <v>4535</v>
      </c>
      <c r="N165" s="44">
        <v>997</v>
      </c>
      <c r="O165" s="44">
        <v>877</v>
      </c>
      <c r="P165" s="36">
        <f t="shared" si="59"/>
        <v>1874</v>
      </c>
      <c r="Q165" s="44">
        <v>614</v>
      </c>
      <c r="R165" s="44">
        <v>468</v>
      </c>
      <c r="S165" s="36">
        <f t="shared" si="60"/>
        <v>1082</v>
      </c>
      <c r="T165" s="44">
        <v>306</v>
      </c>
      <c r="U165" s="44">
        <v>658</v>
      </c>
      <c r="V165" s="36">
        <f t="shared" si="61"/>
        <v>964</v>
      </c>
      <c r="W165" s="44">
        <v>843</v>
      </c>
      <c r="X165" s="44">
        <v>752</v>
      </c>
      <c r="Y165" s="36">
        <f t="shared" si="62"/>
        <v>1595</v>
      </c>
      <c r="Z165" s="46">
        <v>1178</v>
      </c>
      <c r="AA165" s="46">
        <v>1549</v>
      </c>
      <c r="AB165" s="36">
        <f t="shared" si="63"/>
        <v>2727</v>
      </c>
      <c r="AC165" s="44">
        <v>267</v>
      </c>
      <c r="AD165" s="44">
        <v>487</v>
      </c>
      <c r="AE165" s="36">
        <f t="shared" si="64"/>
        <v>754</v>
      </c>
      <c r="AF165" s="46">
        <v>1006</v>
      </c>
      <c r="AG165" s="46">
        <v>1190</v>
      </c>
      <c r="AH165" s="36">
        <f t="shared" si="65"/>
        <v>2196</v>
      </c>
    </row>
    <row r="166" spans="1:34" x14ac:dyDescent="0.3">
      <c r="A166" s="44" t="s">
        <v>193</v>
      </c>
      <c r="B166" s="46">
        <v>2714</v>
      </c>
      <c r="C166" s="46">
        <v>2519</v>
      </c>
      <c r="D166" s="36">
        <f t="shared" si="55"/>
        <v>5233</v>
      </c>
      <c r="E166" s="46">
        <v>1225</v>
      </c>
      <c r="F166" s="46">
        <v>1298</v>
      </c>
      <c r="G166" s="36">
        <f t="shared" si="56"/>
        <v>2523</v>
      </c>
      <c r="H166" s="46">
        <v>1843</v>
      </c>
      <c r="I166" s="46">
        <v>2935</v>
      </c>
      <c r="J166" s="36">
        <f t="shared" si="57"/>
        <v>4778</v>
      </c>
      <c r="K166" s="46">
        <v>3826</v>
      </c>
      <c r="L166" s="46">
        <v>4760</v>
      </c>
      <c r="M166" s="36">
        <f t="shared" si="58"/>
        <v>8586</v>
      </c>
      <c r="N166" s="46">
        <v>1948</v>
      </c>
      <c r="O166" s="46">
        <v>2079</v>
      </c>
      <c r="P166" s="36">
        <f t="shared" si="59"/>
        <v>4027</v>
      </c>
      <c r="Q166" s="46">
        <v>1080</v>
      </c>
      <c r="R166" s="44">
        <v>922</v>
      </c>
      <c r="S166" s="36">
        <f t="shared" si="60"/>
        <v>2002</v>
      </c>
      <c r="T166" s="46">
        <v>1032</v>
      </c>
      <c r="U166" s="44">
        <v>877</v>
      </c>
      <c r="V166" s="36">
        <f t="shared" si="61"/>
        <v>1909</v>
      </c>
      <c r="W166" s="46">
        <v>1288</v>
      </c>
      <c r="X166" s="46">
        <v>1638</v>
      </c>
      <c r="Y166" s="36">
        <f t="shared" si="62"/>
        <v>2926</v>
      </c>
      <c r="Z166" s="46">
        <v>2631</v>
      </c>
      <c r="AA166" s="46">
        <v>2630</v>
      </c>
      <c r="AB166" s="36">
        <f t="shared" si="63"/>
        <v>5261</v>
      </c>
      <c r="AC166" s="44">
        <v>908</v>
      </c>
      <c r="AD166" s="46">
        <v>1147</v>
      </c>
      <c r="AE166" s="36">
        <f t="shared" si="64"/>
        <v>2055</v>
      </c>
      <c r="AF166" s="46">
        <v>1485</v>
      </c>
      <c r="AG166" s="46">
        <v>1548</v>
      </c>
      <c r="AH166" s="36">
        <f t="shared" si="65"/>
        <v>3033</v>
      </c>
    </row>
    <row r="167" spans="1:34" x14ac:dyDescent="0.3">
      <c r="A167" s="44" t="s">
        <v>194</v>
      </c>
      <c r="B167" s="46">
        <v>2857</v>
      </c>
      <c r="C167" s="46">
        <v>2286</v>
      </c>
      <c r="D167" s="36">
        <f t="shared" si="55"/>
        <v>5143</v>
      </c>
      <c r="E167" s="46">
        <v>1372</v>
      </c>
      <c r="F167" s="46">
        <v>1613</v>
      </c>
      <c r="G167" s="36">
        <f t="shared" si="56"/>
        <v>2985</v>
      </c>
      <c r="H167" s="46">
        <v>2437</v>
      </c>
      <c r="I167" s="46">
        <v>1660</v>
      </c>
      <c r="J167" s="36">
        <f t="shared" si="57"/>
        <v>4097</v>
      </c>
      <c r="K167" s="46">
        <v>4310</v>
      </c>
      <c r="L167" s="46">
        <v>3652</v>
      </c>
      <c r="M167" s="36">
        <f t="shared" si="58"/>
        <v>7962</v>
      </c>
      <c r="N167" s="46">
        <v>1689</v>
      </c>
      <c r="O167" s="46">
        <v>1437</v>
      </c>
      <c r="P167" s="36">
        <f t="shared" si="59"/>
        <v>3126</v>
      </c>
      <c r="Q167" s="44">
        <v>907</v>
      </c>
      <c r="R167" s="46">
        <v>1199</v>
      </c>
      <c r="S167" s="36">
        <f t="shared" si="60"/>
        <v>2106</v>
      </c>
      <c r="T167" s="46">
        <v>1132</v>
      </c>
      <c r="U167" s="46">
        <v>1214</v>
      </c>
      <c r="V167" s="36">
        <f t="shared" si="61"/>
        <v>2346</v>
      </c>
      <c r="W167" s="46">
        <v>1306</v>
      </c>
      <c r="X167" s="46">
        <v>1346</v>
      </c>
      <c r="Y167" s="36">
        <f t="shared" si="62"/>
        <v>2652</v>
      </c>
      <c r="Z167" s="46">
        <v>2790</v>
      </c>
      <c r="AA167" s="46">
        <v>2489</v>
      </c>
      <c r="AB167" s="36">
        <f t="shared" si="63"/>
        <v>5279</v>
      </c>
      <c r="AC167" s="46">
        <v>1018</v>
      </c>
      <c r="AD167" s="46">
        <v>1308</v>
      </c>
      <c r="AE167" s="36">
        <f t="shared" si="64"/>
        <v>2326</v>
      </c>
      <c r="AF167" s="46">
        <v>1231</v>
      </c>
      <c r="AG167" s="46">
        <v>1227</v>
      </c>
      <c r="AH167" s="36">
        <f t="shared" si="65"/>
        <v>2458</v>
      </c>
    </row>
    <row r="168" spans="1:34" x14ac:dyDescent="0.3">
      <c r="A168" s="44" t="s">
        <v>195</v>
      </c>
      <c r="B168" s="46">
        <v>1976</v>
      </c>
      <c r="C168" s="46">
        <v>1690</v>
      </c>
      <c r="D168" s="36">
        <f t="shared" si="55"/>
        <v>3666</v>
      </c>
      <c r="E168" s="46">
        <v>1266</v>
      </c>
      <c r="F168" s="46">
        <v>1328</v>
      </c>
      <c r="G168" s="36">
        <f t="shared" si="56"/>
        <v>2594</v>
      </c>
      <c r="H168" s="46">
        <v>1357</v>
      </c>
      <c r="I168" s="46">
        <v>1481</v>
      </c>
      <c r="J168" s="36">
        <f t="shared" si="57"/>
        <v>2838</v>
      </c>
      <c r="K168" s="46">
        <v>2889</v>
      </c>
      <c r="L168" s="46">
        <v>3480</v>
      </c>
      <c r="M168" s="36">
        <f t="shared" si="58"/>
        <v>6369</v>
      </c>
      <c r="N168" s="46">
        <v>1578</v>
      </c>
      <c r="O168" s="46">
        <v>1569</v>
      </c>
      <c r="P168" s="36">
        <f t="shared" si="59"/>
        <v>3147</v>
      </c>
      <c r="Q168" s="46">
        <v>1036</v>
      </c>
      <c r="R168" s="46">
        <v>1197</v>
      </c>
      <c r="S168" s="36">
        <f t="shared" si="60"/>
        <v>2233</v>
      </c>
      <c r="T168" s="46">
        <v>1430</v>
      </c>
      <c r="U168" s="46">
        <v>1475</v>
      </c>
      <c r="V168" s="36">
        <f t="shared" si="61"/>
        <v>2905</v>
      </c>
      <c r="W168" s="46">
        <v>1272</v>
      </c>
      <c r="X168" s="46">
        <v>1303</v>
      </c>
      <c r="Y168" s="36">
        <f t="shared" si="62"/>
        <v>2575</v>
      </c>
      <c r="Z168" s="46">
        <v>1814</v>
      </c>
      <c r="AA168" s="46">
        <v>1611</v>
      </c>
      <c r="AB168" s="36">
        <f t="shared" si="63"/>
        <v>3425</v>
      </c>
      <c r="AC168" s="46">
        <v>1153</v>
      </c>
      <c r="AD168" s="46">
        <v>1054</v>
      </c>
      <c r="AE168" s="36">
        <f t="shared" si="64"/>
        <v>2207</v>
      </c>
      <c r="AF168" s="46">
        <v>1470</v>
      </c>
      <c r="AG168" s="46">
        <v>1568</v>
      </c>
      <c r="AH168" s="36">
        <f t="shared" si="65"/>
        <v>3038</v>
      </c>
    </row>
    <row r="169" spans="1:34" x14ac:dyDescent="0.3">
      <c r="A169" s="44" t="s">
        <v>196</v>
      </c>
      <c r="B169" s="46">
        <v>1815</v>
      </c>
      <c r="C169" s="46">
        <v>1626</v>
      </c>
      <c r="D169" s="36">
        <f t="shared" si="55"/>
        <v>3441</v>
      </c>
      <c r="E169" s="46">
        <v>1363</v>
      </c>
      <c r="F169" s="44">
        <v>854</v>
      </c>
      <c r="G169" s="36">
        <f t="shared" si="56"/>
        <v>2217</v>
      </c>
      <c r="H169" s="46">
        <v>1230</v>
      </c>
      <c r="I169" s="46">
        <v>1282</v>
      </c>
      <c r="J169" s="36">
        <f t="shared" si="57"/>
        <v>2512</v>
      </c>
      <c r="K169" s="46">
        <v>3026</v>
      </c>
      <c r="L169" s="46">
        <v>3255</v>
      </c>
      <c r="M169" s="36">
        <f t="shared" si="58"/>
        <v>6281</v>
      </c>
      <c r="N169" s="46">
        <v>1347</v>
      </c>
      <c r="O169" s="46">
        <v>1458</v>
      </c>
      <c r="P169" s="36">
        <f t="shared" si="59"/>
        <v>2805</v>
      </c>
      <c r="Q169" s="44">
        <v>806</v>
      </c>
      <c r="R169" s="46">
        <v>1338</v>
      </c>
      <c r="S169" s="36">
        <f t="shared" si="60"/>
        <v>2144</v>
      </c>
      <c r="T169" s="46">
        <v>1324</v>
      </c>
      <c r="U169" s="46">
        <v>1393</v>
      </c>
      <c r="V169" s="36">
        <f t="shared" si="61"/>
        <v>2717</v>
      </c>
      <c r="W169" s="46">
        <v>1198</v>
      </c>
      <c r="X169" s="46">
        <v>1076</v>
      </c>
      <c r="Y169" s="36">
        <f t="shared" si="62"/>
        <v>2274</v>
      </c>
      <c r="Z169" s="46">
        <v>1918</v>
      </c>
      <c r="AA169" s="46">
        <v>1790</v>
      </c>
      <c r="AB169" s="36">
        <f t="shared" si="63"/>
        <v>3708</v>
      </c>
      <c r="AC169" s="44">
        <v>788</v>
      </c>
      <c r="AD169" s="44">
        <v>556</v>
      </c>
      <c r="AE169" s="36">
        <f t="shared" si="64"/>
        <v>1344</v>
      </c>
      <c r="AF169" s="46">
        <v>1323</v>
      </c>
      <c r="AG169" s="46">
        <v>1282</v>
      </c>
      <c r="AH169" s="36">
        <f t="shared" si="65"/>
        <v>2605</v>
      </c>
    </row>
    <row r="170" spans="1:34" x14ac:dyDescent="0.3">
      <c r="A170" s="44" t="s">
        <v>197</v>
      </c>
      <c r="B170" s="46">
        <v>1309</v>
      </c>
      <c r="C170" s="46">
        <v>1382</v>
      </c>
      <c r="D170" s="36">
        <f t="shared" si="55"/>
        <v>2691</v>
      </c>
      <c r="E170" s="46">
        <v>1669</v>
      </c>
      <c r="F170" s="46">
        <v>1000</v>
      </c>
      <c r="G170" s="36">
        <f t="shared" si="56"/>
        <v>2669</v>
      </c>
      <c r="H170" s="46">
        <v>1197</v>
      </c>
      <c r="I170" s="46">
        <v>1229</v>
      </c>
      <c r="J170" s="36">
        <f t="shared" si="57"/>
        <v>2426</v>
      </c>
      <c r="K170" s="46">
        <v>2645</v>
      </c>
      <c r="L170" s="46">
        <v>2991</v>
      </c>
      <c r="M170" s="36">
        <f t="shared" si="58"/>
        <v>5636</v>
      </c>
      <c r="N170" s="46">
        <v>1246</v>
      </c>
      <c r="O170" s="46">
        <v>1185</v>
      </c>
      <c r="P170" s="36">
        <f t="shared" si="59"/>
        <v>2431</v>
      </c>
      <c r="Q170" s="46">
        <v>1480</v>
      </c>
      <c r="R170" s="46">
        <v>1334</v>
      </c>
      <c r="S170" s="36">
        <f t="shared" si="60"/>
        <v>2814</v>
      </c>
      <c r="T170" s="46">
        <v>1474</v>
      </c>
      <c r="U170" s="46">
        <v>1463</v>
      </c>
      <c r="V170" s="36">
        <f t="shared" si="61"/>
        <v>2937</v>
      </c>
      <c r="W170" s="44">
        <v>896</v>
      </c>
      <c r="X170" s="44">
        <v>972</v>
      </c>
      <c r="Y170" s="36">
        <f t="shared" si="62"/>
        <v>1868</v>
      </c>
      <c r="Z170" s="46">
        <v>1455</v>
      </c>
      <c r="AA170" s="46">
        <v>1556</v>
      </c>
      <c r="AB170" s="36">
        <f t="shared" si="63"/>
        <v>3011</v>
      </c>
      <c r="AC170" s="44">
        <v>400</v>
      </c>
      <c r="AD170" s="44">
        <v>654</v>
      </c>
      <c r="AE170" s="36">
        <f t="shared" si="64"/>
        <v>1054</v>
      </c>
      <c r="AF170" s="46">
        <v>1331</v>
      </c>
      <c r="AG170" s="46">
        <v>1558</v>
      </c>
      <c r="AH170" s="36">
        <f t="shared" si="65"/>
        <v>2889</v>
      </c>
    </row>
    <row r="171" spans="1:34" x14ac:dyDescent="0.3">
      <c r="A171" s="44" t="s">
        <v>198</v>
      </c>
      <c r="B171" s="46">
        <v>1478</v>
      </c>
      <c r="C171" s="44">
        <v>790</v>
      </c>
      <c r="D171" s="36">
        <f t="shared" si="55"/>
        <v>2268</v>
      </c>
      <c r="E171" s="46">
        <v>1092</v>
      </c>
      <c r="F171" s="46">
        <v>1207</v>
      </c>
      <c r="G171" s="36">
        <f t="shared" si="56"/>
        <v>2299</v>
      </c>
      <c r="H171" s="46">
        <v>1260</v>
      </c>
      <c r="I171" s="46">
        <v>1607</v>
      </c>
      <c r="J171" s="36">
        <f t="shared" si="57"/>
        <v>2867</v>
      </c>
      <c r="K171" s="46">
        <v>2553</v>
      </c>
      <c r="L171" s="46">
        <v>3212</v>
      </c>
      <c r="M171" s="36">
        <f t="shared" si="58"/>
        <v>5765</v>
      </c>
      <c r="N171" s="46">
        <v>1706</v>
      </c>
      <c r="O171" s="46">
        <v>1129</v>
      </c>
      <c r="P171" s="36">
        <f t="shared" si="59"/>
        <v>2835</v>
      </c>
      <c r="Q171" s="46">
        <v>1204</v>
      </c>
      <c r="R171" s="46">
        <v>1064</v>
      </c>
      <c r="S171" s="36">
        <f t="shared" si="60"/>
        <v>2268</v>
      </c>
      <c r="T171" s="46">
        <v>1627</v>
      </c>
      <c r="U171" s="46">
        <v>1446</v>
      </c>
      <c r="V171" s="36">
        <f t="shared" si="61"/>
        <v>3073</v>
      </c>
      <c r="W171" s="46">
        <v>1293</v>
      </c>
      <c r="X171" s="46">
        <v>1705</v>
      </c>
      <c r="Y171" s="36">
        <f t="shared" si="62"/>
        <v>2998</v>
      </c>
      <c r="Z171" s="46">
        <v>1508</v>
      </c>
      <c r="AA171" s="46">
        <v>1551</v>
      </c>
      <c r="AB171" s="36">
        <f t="shared" si="63"/>
        <v>3059</v>
      </c>
      <c r="AC171" s="44">
        <v>527</v>
      </c>
      <c r="AD171" s="44">
        <v>855</v>
      </c>
      <c r="AE171" s="36">
        <f t="shared" si="64"/>
        <v>1382</v>
      </c>
      <c r="AF171" s="46">
        <v>1356</v>
      </c>
      <c r="AG171" s="46">
        <v>1285</v>
      </c>
      <c r="AH171" s="36">
        <f t="shared" si="65"/>
        <v>2641</v>
      </c>
    </row>
    <row r="172" spans="1:34" x14ac:dyDescent="0.3">
      <c r="A172" s="44" t="s">
        <v>199</v>
      </c>
      <c r="B172" s="46">
        <v>1108</v>
      </c>
      <c r="C172" s="46">
        <v>1058</v>
      </c>
      <c r="D172" s="36">
        <f t="shared" si="55"/>
        <v>2166</v>
      </c>
      <c r="E172" s="46">
        <v>1494</v>
      </c>
      <c r="F172" s="46">
        <v>1448</v>
      </c>
      <c r="G172" s="36">
        <f t="shared" si="56"/>
        <v>2942</v>
      </c>
      <c r="H172" s="46">
        <v>1064</v>
      </c>
      <c r="I172" s="44">
        <v>770</v>
      </c>
      <c r="J172" s="36">
        <f t="shared" si="57"/>
        <v>1834</v>
      </c>
      <c r="K172" s="46">
        <v>2608</v>
      </c>
      <c r="L172" s="46">
        <v>2835</v>
      </c>
      <c r="M172" s="36">
        <f t="shared" si="58"/>
        <v>5443</v>
      </c>
      <c r="N172" s="46">
        <v>1043</v>
      </c>
      <c r="O172" s="46">
        <v>1266</v>
      </c>
      <c r="P172" s="36">
        <f t="shared" si="59"/>
        <v>2309</v>
      </c>
      <c r="Q172" s="46">
        <v>1282</v>
      </c>
      <c r="R172" s="46">
        <v>1519</v>
      </c>
      <c r="S172" s="36">
        <f t="shared" si="60"/>
        <v>2801</v>
      </c>
      <c r="T172" s="46">
        <v>1319</v>
      </c>
      <c r="U172" s="46">
        <v>1357</v>
      </c>
      <c r="V172" s="36">
        <f t="shared" si="61"/>
        <v>2676</v>
      </c>
      <c r="W172" s="46">
        <v>1394</v>
      </c>
      <c r="X172" s="46">
        <v>1054</v>
      </c>
      <c r="Y172" s="36">
        <f t="shared" si="62"/>
        <v>2448</v>
      </c>
      <c r="Z172" s="46">
        <v>1751</v>
      </c>
      <c r="AA172" s="46">
        <v>1717</v>
      </c>
      <c r="AB172" s="36">
        <f t="shared" si="63"/>
        <v>3468</v>
      </c>
      <c r="AC172" s="44">
        <v>714</v>
      </c>
      <c r="AD172" s="44">
        <v>702</v>
      </c>
      <c r="AE172" s="36">
        <f t="shared" si="64"/>
        <v>1416</v>
      </c>
      <c r="AF172" s="46">
        <v>1656</v>
      </c>
      <c r="AG172" s="46">
        <v>1521</v>
      </c>
      <c r="AH172" s="36">
        <f t="shared" si="65"/>
        <v>3177</v>
      </c>
    </row>
    <row r="173" spans="1:34" x14ac:dyDescent="0.3">
      <c r="A173" s="44" t="s">
        <v>200</v>
      </c>
      <c r="B173" s="44">
        <v>631</v>
      </c>
      <c r="C173" s="44">
        <v>354</v>
      </c>
      <c r="D173" s="36">
        <f t="shared" si="55"/>
        <v>985</v>
      </c>
      <c r="E173" s="44">
        <v>357</v>
      </c>
      <c r="F173" s="44">
        <v>552</v>
      </c>
      <c r="G173" s="36">
        <f t="shared" si="56"/>
        <v>909</v>
      </c>
      <c r="H173" s="44">
        <v>343</v>
      </c>
      <c r="I173" s="44">
        <v>472</v>
      </c>
      <c r="J173" s="36">
        <f t="shared" si="57"/>
        <v>815</v>
      </c>
      <c r="K173" s="44">
        <v>783</v>
      </c>
      <c r="L173" s="46">
        <v>1208</v>
      </c>
      <c r="M173" s="36">
        <f t="shared" si="58"/>
        <v>1991</v>
      </c>
      <c r="N173" s="44">
        <v>418</v>
      </c>
      <c r="O173" s="44">
        <v>576</v>
      </c>
      <c r="P173" s="36">
        <f t="shared" si="59"/>
        <v>994</v>
      </c>
      <c r="Q173" s="44">
        <v>455</v>
      </c>
      <c r="R173" s="44">
        <v>588</v>
      </c>
      <c r="S173" s="36">
        <f t="shared" si="60"/>
        <v>1043</v>
      </c>
      <c r="T173" s="44">
        <v>645</v>
      </c>
      <c r="U173" s="44">
        <v>567</v>
      </c>
      <c r="V173" s="36">
        <f t="shared" si="61"/>
        <v>1212</v>
      </c>
      <c r="W173" s="44">
        <v>440</v>
      </c>
      <c r="X173" s="44">
        <v>432</v>
      </c>
      <c r="Y173" s="36">
        <f t="shared" si="62"/>
        <v>872</v>
      </c>
      <c r="Z173" s="44">
        <v>536</v>
      </c>
      <c r="AA173" s="44">
        <v>771</v>
      </c>
      <c r="AB173" s="36">
        <f t="shared" si="63"/>
        <v>1307</v>
      </c>
      <c r="AC173" s="44">
        <v>187</v>
      </c>
      <c r="AD173" s="44">
        <v>147</v>
      </c>
      <c r="AE173" s="36">
        <f t="shared" si="64"/>
        <v>334</v>
      </c>
      <c r="AF173" s="44">
        <v>556</v>
      </c>
      <c r="AG173" s="44">
        <v>462</v>
      </c>
      <c r="AH173" s="36">
        <f t="shared" si="65"/>
        <v>1018</v>
      </c>
    </row>
    <row r="174" spans="1:34" x14ac:dyDescent="0.3">
      <c r="A174" s="44" t="s">
        <v>201</v>
      </c>
      <c r="B174" s="44">
        <v>900</v>
      </c>
      <c r="C174" s="44">
        <v>566</v>
      </c>
      <c r="D174" s="36">
        <f t="shared" si="55"/>
        <v>1466</v>
      </c>
      <c r="E174" s="44">
        <v>833</v>
      </c>
      <c r="F174" s="44">
        <v>558</v>
      </c>
      <c r="G174" s="36">
        <f t="shared" si="56"/>
        <v>1391</v>
      </c>
      <c r="H174" s="44">
        <v>592</v>
      </c>
      <c r="I174" s="44">
        <v>449</v>
      </c>
      <c r="J174" s="36">
        <f t="shared" si="57"/>
        <v>1041</v>
      </c>
      <c r="K174" s="46">
        <v>1509</v>
      </c>
      <c r="L174" s="46">
        <v>2000</v>
      </c>
      <c r="M174" s="36">
        <f t="shared" si="58"/>
        <v>3509</v>
      </c>
      <c r="N174" s="44">
        <v>602</v>
      </c>
      <c r="O174" s="44">
        <v>748</v>
      </c>
      <c r="P174" s="36">
        <f t="shared" si="59"/>
        <v>1350</v>
      </c>
      <c r="Q174" s="44">
        <v>664</v>
      </c>
      <c r="R174" s="44">
        <v>625</v>
      </c>
      <c r="S174" s="36">
        <f t="shared" si="60"/>
        <v>1289</v>
      </c>
      <c r="T174" s="44">
        <v>633</v>
      </c>
      <c r="U174" s="44">
        <v>809</v>
      </c>
      <c r="V174" s="36">
        <f t="shared" si="61"/>
        <v>1442</v>
      </c>
      <c r="W174" s="44">
        <v>748</v>
      </c>
      <c r="X174" s="44">
        <v>819</v>
      </c>
      <c r="Y174" s="36">
        <f t="shared" si="62"/>
        <v>1567</v>
      </c>
      <c r="Z174" s="44">
        <v>745</v>
      </c>
      <c r="AA174" s="44">
        <v>579</v>
      </c>
      <c r="AB174" s="36">
        <f t="shared" si="63"/>
        <v>1324</v>
      </c>
      <c r="AC174" s="44">
        <v>394</v>
      </c>
      <c r="AD174" s="44">
        <v>286</v>
      </c>
      <c r="AE174" s="36">
        <f t="shared" si="64"/>
        <v>680</v>
      </c>
      <c r="AF174" s="44">
        <v>816</v>
      </c>
      <c r="AG174" s="44">
        <v>783</v>
      </c>
      <c r="AH174" s="36">
        <f t="shared" si="65"/>
        <v>1599</v>
      </c>
    </row>
    <row r="175" spans="1:34" x14ac:dyDescent="0.3">
      <c r="A175" s="44" t="s">
        <v>202</v>
      </c>
      <c r="B175" s="44">
        <v>366</v>
      </c>
      <c r="C175" s="44">
        <v>418</v>
      </c>
      <c r="D175" s="36">
        <f t="shared" si="55"/>
        <v>784</v>
      </c>
      <c r="E175" s="44">
        <v>410</v>
      </c>
      <c r="F175" s="44">
        <v>491</v>
      </c>
      <c r="G175" s="36">
        <f t="shared" si="56"/>
        <v>901</v>
      </c>
      <c r="H175" s="44">
        <v>219</v>
      </c>
      <c r="I175" s="44">
        <v>362</v>
      </c>
      <c r="J175" s="36">
        <f t="shared" si="57"/>
        <v>581</v>
      </c>
      <c r="K175" s="44">
        <v>683</v>
      </c>
      <c r="L175" s="44">
        <v>756</v>
      </c>
      <c r="M175" s="36">
        <f t="shared" si="58"/>
        <v>1439</v>
      </c>
      <c r="N175" s="44">
        <v>236</v>
      </c>
      <c r="O175" s="44">
        <v>435</v>
      </c>
      <c r="P175" s="36">
        <f t="shared" si="59"/>
        <v>671</v>
      </c>
      <c r="Q175" s="44">
        <v>334</v>
      </c>
      <c r="R175" s="44">
        <v>362</v>
      </c>
      <c r="S175" s="36">
        <f t="shared" si="60"/>
        <v>696</v>
      </c>
      <c r="T175" s="44">
        <v>486</v>
      </c>
      <c r="U175" s="44">
        <v>485</v>
      </c>
      <c r="V175" s="36">
        <f t="shared" si="61"/>
        <v>971</v>
      </c>
      <c r="W175" s="44">
        <v>369</v>
      </c>
      <c r="X175" s="44">
        <v>272</v>
      </c>
      <c r="Y175" s="36">
        <f t="shared" si="62"/>
        <v>641</v>
      </c>
      <c r="Z175" s="44">
        <v>383</v>
      </c>
      <c r="AA175" s="44">
        <v>446</v>
      </c>
      <c r="AB175" s="36">
        <f t="shared" si="63"/>
        <v>829</v>
      </c>
      <c r="AC175" s="44">
        <v>177</v>
      </c>
      <c r="AD175" s="44">
        <v>171</v>
      </c>
      <c r="AE175" s="36">
        <f t="shared" si="64"/>
        <v>348</v>
      </c>
      <c r="AF175" s="44">
        <v>367</v>
      </c>
      <c r="AG175" s="44">
        <v>352</v>
      </c>
      <c r="AH175" s="36">
        <f t="shared" si="65"/>
        <v>719</v>
      </c>
    </row>
    <row r="176" spans="1:34" x14ac:dyDescent="0.3">
      <c r="A176" s="44" t="s">
        <v>203</v>
      </c>
      <c r="B176" s="44">
        <v>335</v>
      </c>
      <c r="C176" s="44">
        <v>356</v>
      </c>
      <c r="D176" s="36">
        <f t="shared" si="55"/>
        <v>691</v>
      </c>
      <c r="E176" s="44">
        <v>616</v>
      </c>
      <c r="F176" s="44">
        <v>659</v>
      </c>
      <c r="G176" s="36">
        <f t="shared" si="56"/>
        <v>1275</v>
      </c>
      <c r="H176" s="44">
        <v>417</v>
      </c>
      <c r="I176" s="44">
        <v>431</v>
      </c>
      <c r="J176" s="36">
        <f t="shared" si="57"/>
        <v>848</v>
      </c>
      <c r="K176" s="46">
        <v>1175</v>
      </c>
      <c r="L176" s="46">
        <v>1342</v>
      </c>
      <c r="M176" s="36">
        <f t="shared" si="58"/>
        <v>2517</v>
      </c>
      <c r="N176" s="44">
        <v>345</v>
      </c>
      <c r="O176" s="44">
        <v>393</v>
      </c>
      <c r="P176" s="36">
        <f t="shared" si="59"/>
        <v>738</v>
      </c>
      <c r="Q176" s="44">
        <v>564</v>
      </c>
      <c r="R176" s="44">
        <v>569</v>
      </c>
      <c r="S176" s="36">
        <f t="shared" si="60"/>
        <v>1133</v>
      </c>
      <c r="T176" s="44">
        <v>559</v>
      </c>
      <c r="U176" s="44">
        <v>785</v>
      </c>
      <c r="V176" s="36">
        <f t="shared" si="61"/>
        <v>1344</v>
      </c>
      <c r="W176" s="44">
        <v>266</v>
      </c>
      <c r="X176" s="44">
        <v>396</v>
      </c>
      <c r="Y176" s="36">
        <f t="shared" si="62"/>
        <v>662</v>
      </c>
      <c r="Z176" s="44">
        <v>515</v>
      </c>
      <c r="AA176" s="44">
        <v>576</v>
      </c>
      <c r="AB176" s="36">
        <f t="shared" si="63"/>
        <v>1091</v>
      </c>
      <c r="AC176" s="44">
        <v>219</v>
      </c>
      <c r="AD176" s="44">
        <v>340</v>
      </c>
      <c r="AE176" s="36">
        <f t="shared" si="64"/>
        <v>559</v>
      </c>
      <c r="AF176" s="44">
        <v>428</v>
      </c>
      <c r="AG176" s="44">
        <v>551</v>
      </c>
      <c r="AH176" s="36">
        <f t="shared" si="65"/>
        <v>979</v>
      </c>
    </row>
    <row r="177" spans="1:38" x14ac:dyDescent="0.3">
      <c r="A177" s="44" t="s">
        <v>204</v>
      </c>
      <c r="B177" s="44">
        <v>323</v>
      </c>
      <c r="C177" s="44">
        <v>452</v>
      </c>
      <c r="D177" s="36">
        <f t="shared" si="55"/>
        <v>775</v>
      </c>
      <c r="E177" s="44">
        <v>917</v>
      </c>
      <c r="F177" s="44">
        <v>905</v>
      </c>
      <c r="G177" s="36">
        <f t="shared" si="56"/>
        <v>1822</v>
      </c>
      <c r="H177" s="44">
        <v>407</v>
      </c>
      <c r="I177" s="44">
        <v>412</v>
      </c>
      <c r="J177" s="36">
        <f t="shared" si="57"/>
        <v>819</v>
      </c>
      <c r="K177" s="46">
        <v>1159</v>
      </c>
      <c r="L177" s="46">
        <v>1461</v>
      </c>
      <c r="M177" s="36">
        <f t="shared" si="58"/>
        <v>2620</v>
      </c>
      <c r="N177" s="44">
        <v>615</v>
      </c>
      <c r="O177" s="44">
        <v>652</v>
      </c>
      <c r="P177" s="36">
        <f t="shared" si="59"/>
        <v>1267</v>
      </c>
      <c r="Q177" s="44">
        <v>706</v>
      </c>
      <c r="R177" s="44">
        <v>958</v>
      </c>
      <c r="S177" s="36">
        <f t="shared" si="60"/>
        <v>1664</v>
      </c>
      <c r="T177" s="46">
        <v>1074</v>
      </c>
      <c r="U177" s="46">
        <v>1078</v>
      </c>
      <c r="V177" s="36">
        <f t="shared" si="61"/>
        <v>2152</v>
      </c>
      <c r="W177" s="44">
        <v>630</v>
      </c>
      <c r="X177" s="44">
        <v>651</v>
      </c>
      <c r="Y177" s="36">
        <f t="shared" si="62"/>
        <v>1281</v>
      </c>
      <c r="Z177" s="44">
        <v>515</v>
      </c>
      <c r="AA177" s="44">
        <v>573</v>
      </c>
      <c r="AB177" s="36">
        <f t="shared" si="63"/>
        <v>1088</v>
      </c>
      <c r="AC177" s="44">
        <v>272</v>
      </c>
      <c r="AD177" s="44">
        <v>261</v>
      </c>
      <c r="AE177" s="36">
        <f t="shared" si="64"/>
        <v>533</v>
      </c>
      <c r="AF177" s="44">
        <v>583</v>
      </c>
      <c r="AG177" s="44">
        <v>906</v>
      </c>
      <c r="AH177" s="36">
        <f t="shared" si="65"/>
        <v>1489</v>
      </c>
    </row>
    <row r="178" spans="1:38" x14ac:dyDescent="0.3">
      <c r="A178" s="44" t="s">
        <v>205</v>
      </c>
      <c r="B178" s="44">
        <v>160</v>
      </c>
      <c r="C178" s="44">
        <v>503</v>
      </c>
      <c r="D178" s="36">
        <f t="shared" si="55"/>
        <v>663</v>
      </c>
      <c r="E178" s="44">
        <v>726</v>
      </c>
      <c r="F178" s="44">
        <v>658</v>
      </c>
      <c r="G178" s="36">
        <f t="shared" si="56"/>
        <v>1384</v>
      </c>
      <c r="H178" s="44">
        <v>224</v>
      </c>
      <c r="I178" s="44">
        <v>196</v>
      </c>
      <c r="J178" s="36">
        <f t="shared" si="57"/>
        <v>420</v>
      </c>
      <c r="K178" s="44">
        <v>502</v>
      </c>
      <c r="L178" s="44">
        <v>842</v>
      </c>
      <c r="M178" s="36">
        <f t="shared" si="58"/>
        <v>1344</v>
      </c>
      <c r="N178" s="44">
        <v>296</v>
      </c>
      <c r="O178" s="44">
        <v>462</v>
      </c>
      <c r="P178" s="36">
        <f t="shared" si="59"/>
        <v>758</v>
      </c>
      <c r="Q178" s="44">
        <v>393</v>
      </c>
      <c r="R178" s="44">
        <v>327</v>
      </c>
      <c r="S178" s="36">
        <f t="shared" si="60"/>
        <v>720</v>
      </c>
      <c r="T178" s="44">
        <v>453</v>
      </c>
      <c r="U178" s="44">
        <v>863</v>
      </c>
      <c r="V178" s="36">
        <f t="shared" si="61"/>
        <v>1316</v>
      </c>
      <c r="W178" s="44">
        <v>248</v>
      </c>
      <c r="X178" s="44">
        <v>371</v>
      </c>
      <c r="Y178" s="36">
        <f t="shared" si="62"/>
        <v>619</v>
      </c>
      <c r="Z178" s="44">
        <v>180</v>
      </c>
      <c r="AA178" s="44">
        <v>321</v>
      </c>
      <c r="AB178" s="36">
        <f t="shared" si="63"/>
        <v>501</v>
      </c>
      <c r="AC178" s="44">
        <v>88</v>
      </c>
      <c r="AD178" s="44">
        <v>150</v>
      </c>
      <c r="AE178" s="36">
        <f t="shared" si="64"/>
        <v>238</v>
      </c>
      <c r="AF178" s="44">
        <v>408</v>
      </c>
      <c r="AG178" s="44">
        <v>600</v>
      </c>
      <c r="AH178" s="36">
        <f t="shared" si="65"/>
        <v>1008</v>
      </c>
    </row>
    <row r="179" spans="1:38" x14ac:dyDescent="0.3">
      <c r="A179" s="44" t="s">
        <v>206</v>
      </c>
      <c r="B179" s="44">
        <v>120</v>
      </c>
      <c r="C179" s="44">
        <v>193</v>
      </c>
      <c r="D179" s="36">
        <f t="shared" si="55"/>
        <v>313</v>
      </c>
      <c r="E179" s="44">
        <v>278</v>
      </c>
      <c r="F179" s="44">
        <v>242</v>
      </c>
      <c r="G179" s="36">
        <f t="shared" si="56"/>
        <v>520</v>
      </c>
      <c r="H179" s="44">
        <v>115</v>
      </c>
      <c r="I179" s="44">
        <v>154</v>
      </c>
      <c r="J179" s="36">
        <f t="shared" si="57"/>
        <v>269</v>
      </c>
      <c r="K179" s="44">
        <v>302</v>
      </c>
      <c r="L179" s="44">
        <v>579</v>
      </c>
      <c r="M179" s="36">
        <f t="shared" si="58"/>
        <v>881</v>
      </c>
      <c r="N179" s="44">
        <v>145</v>
      </c>
      <c r="O179" s="44">
        <v>210</v>
      </c>
      <c r="P179" s="36">
        <f t="shared" si="59"/>
        <v>355</v>
      </c>
      <c r="Q179" s="44">
        <v>151</v>
      </c>
      <c r="R179" s="44">
        <v>194</v>
      </c>
      <c r="S179" s="36">
        <f t="shared" si="60"/>
        <v>345</v>
      </c>
      <c r="T179" s="44">
        <v>328</v>
      </c>
      <c r="U179" s="44">
        <v>328</v>
      </c>
      <c r="V179" s="36">
        <f t="shared" si="61"/>
        <v>656</v>
      </c>
      <c r="W179" s="44">
        <v>128</v>
      </c>
      <c r="X179" s="44">
        <v>322</v>
      </c>
      <c r="Y179" s="36">
        <f t="shared" si="62"/>
        <v>450</v>
      </c>
      <c r="Z179" s="44">
        <v>152</v>
      </c>
      <c r="AA179" s="44">
        <v>277</v>
      </c>
      <c r="AB179" s="36">
        <f t="shared" si="63"/>
        <v>429</v>
      </c>
      <c r="AC179" s="44">
        <v>64</v>
      </c>
      <c r="AD179" s="44">
        <v>81</v>
      </c>
      <c r="AE179" s="36">
        <f t="shared" si="64"/>
        <v>145</v>
      </c>
      <c r="AF179" s="44">
        <v>278</v>
      </c>
      <c r="AG179" s="44">
        <v>352</v>
      </c>
      <c r="AH179" s="36">
        <f t="shared" si="65"/>
        <v>630</v>
      </c>
    </row>
    <row r="180" spans="1:38" x14ac:dyDescent="0.3">
      <c r="A180" s="44" t="s">
        <v>207</v>
      </c>
      <c r="B180" s="44">
        <v>82</v>
      </c>
      <c r="C180" s="44">
        <v>80</v>
      </c>
      <c r="D180" s="36">
        <f t="shared" si="55"/>
        <v>162</v>
      </c>
      <c r="E180" s="44">
        <v>194</v>
      </c>
      <c r="F180" s="44">
        <v>406</v>
      </c>
      <c r="G180" s="36">
        <f t="shared" si="56"/>
        <v>600</v>
      </c>
      <c r="H180" s="44">
        <v>149</v>
      </c>
      <c r="I180" s="44">
        <v>190</v>
      </c>
      <c r="J180" s="36">
        <f t="shared" si="57"/>
        <v>339</v>
      </c>
      <c r="K180" s="44">
        <v>453</v>
      </c>
      <c r="L180" s="44">
        <v>463</v>
      </c>
      <c r="M180" s="36">
        <f t="shared" si="58"/>
        <v>916</v>
      </c>
      <c r="N180" s="44">
        <v>125</v>
      </c>
      <c r="O180" s="44">
        <v>534</v>
      </c>
      <c r="P180" s="36">
        <f t="shared" si="59"/>
        <v>659</v>
      </c>
      <c r="Q180" s="44">
        <v>336</v>
      </c>
      <c r="R180" s="44">
        <v>608</v>
      </c>
      <c r="S180" s="36">
        <f t="shared" si="60"/>
        <v>944</v>
      </c>
      <c r="T180" s="44">
        <v>477</v>
      </c>
      <c r="U180" s="44">
        <v>670</v>
      </c>
      <c r="V180" s="36">
        <f t="shared" si="61"/>
        <v>1147</v>
      </c>
      <c r="W180" s="44">
        <v>201</v>
      </c>
      <c r="X180" s="44">
        <v>444</v>
      </c>
      <c r="Y180" s="36">
        <f t="shared" si="62"/>
        <v>645</v>
      </c>
      <c r="Z180" s="44">
        <v>156</v>
      </c>
      <c r="AA180" s="44">
        <v>329</v>
      </c>
      <c r="AB180" s="36">
        <f t="shared" si="63"/>
        <v>485</v>
      </c>
      <c r="AC180" s="44">
        <v>221</v>
      </c>
      <c r="AD180" s="44">
        <v>270</v>
      </c>
      <c r="AE180" s="36">
        <f t="shared" si="64"/>
        <v>491</v>
      </c>
      <c r="AF180" s="44">
        <v>370</v>
      </c>
      <c r="AG180" s="44">
        <v>571</v>
      </c>
      <c r="AH180" s="36">
        <f t="shared" si="65"/>
        <v>941</v>
      </c>
    </row>
    <row r="182" spans="1:38" x14ac:dyDescent="0.3">
      <c r="A182" t="s">
        <v>106</v>
      </c>
      <c r="B182">
        <v>90802</v>
      </c>
      <c r="C182">
        <v>90803</v>
      </c>
      <c r="D182" s="36">
        <v>90804</v>
      </c>
      <c r="E182">
        <v>90805</v>
      </c>
      <c r="F182">
        <v>90806</v>
      </c>
      <c r="G182" s="36">
        <v>90807</v>
      </c>
      <c r="H182">
        <v>90808</v>
      </c>
      <c r="I182">
        <v>90810</v>
      </c>
      <c r="J182" s="36">
        <v>90813</v>
      </c>
      <c r="K182">
        <v>90814</v>
      </c>
      <c r="L182">
        <v>90815</v>
      </c>
    </row>
    <row r="183" spans="1:38" x14ac:dyDescent="0.3">
      <c r="A183" t="s">
        <v>305</v>
      </c>
      <c r="B183">
        <f>SUM(C49:C57)</f>
        <v>10272</v>
      </c>
      <c r="C183">
        <f>SUM(F49:F57)</f>
        <v>6623</v>
      </c>
      <c r="D183">
        <f>SUM(I49:I57)</f>
        <v>11116</v>
      </c>
      <c r="E183">
        <f>SUM(L49:L57)</f>
        <v>22180</v>
      </c>
      <c r="F183">
        <f>SUM(O49:O57)</f>
        <v>9560</v>
      </c>
      <c r="G183">
        <f>SUM(R49:R57)</f>
        <v>6797</v>
      </c>
      <c r="H183">
        <f>SUM(U49:U57)</f>
        <v>6914</v>
      </c>
      <c r="I183">
        <f>SUM(X49:X57)</f>
        <v>9077</v>
      </c>
      <c r="J183">
        <f>SUM(AA49:AA57)</f>
        <v>14447</v>
      </c>
      <c r="K183">
        <f>SUM(AD49:AD57)</f>
        <v>4708</v>
      </c>
      <c r="L183">
        <f>SUM(AG49:AG57)</f>
        <v>8938</v>
      </c>
    </row>
    <row r="184" spans="1:38" x14ac:dyDescent="0.3">
      <c r="A184" t="s">
        <v>306</v>
      </c>
      <c r="B184">
        <f>SUM(C77:C85)</f>
        <v>9631</v>
      </c>
      <c r="C184">
        <f>SUM(F77:F85)</f>
        <v>6635</v>
      </c>
      <c r="D184">
        <f>SUM(I77:I85)</f>
        <v>10834</v>
      </c>
      <c r="E184">
        <f>SUM(L77:L85)</f>
        <v>22482</v>
      </c>
      <c r="F184">
        <f>SUM(O77:O85)</f>
        <v>9771</v>
      </c>
      <c r="G184">
        <f>SUM(R77:R85)</f>
        <v>6421</v>
      </c>
      <c r="H184">
        <f>SUM(U77:U85)</f>
        <v>6949</v>
      </c>
      <c r="I184">
        <f>SUM(X77:X85)</f>
        <v>9009</v>
      </c>
      <c r="J184">
        <f>SUM(AA77:AA85)</f>
        <v>13862</v>
      </c>
      <c r="K184">
        <f>SUM(AD77:AD85)</f>
        <v>4832</v>
      </c>
      <c r="L184">
        <f>SUM(AG77:AG85)</f>
        <v>9204</v>
      </c>
    </row>
    <row r="185" spans="1:38" x14ac:dyDescent="0.3">
      <c r="A185" t="s">
        <v>307</v>
      </c>
      <c r="B185">
        <f>SUM(C105:C113)</f>
        <v>9823</v>
      </c>
      <c r="C185">
        <f>SUM(F105:F113)</f>
        <v>6609</v>
      </c>
      <c r="D185">
        <f>SUM(I105:I113)</f>
        <v>10676</v>
      </c>
      <c r="E185">
        <f>SUM(L105:L113)</f>
        <v>22114</v>
      </c>
      <c r="F185">
        <f>SUM(O105:O113)</f>
        <v>9210</v>
      </c>
      <c r="G185">
        <f>SUM(R105:R113)</f>
        <v>6228</v>
      </c>
      <c r="H185">
        <f>SUM(U105:U113)</f>
        <v>6936</v>
      </c>
      <c r="I185">
        <f>SUM(X105:X113)</f>
        <v>8377</v>
      </c>
      <c r="J185">
        <f>SUM(AA105:AA113)</f>
        <v>13584</v>
      </c>
      <c r="K185">
        <f>SUM(AD105:AD113)</f>
        <v>5342</v>
      </c>
      <c r="L185">
        <f>SUM(AG105:AG113)</f>
        <v>9310</v>
      </c>
    </row>
    <row r="186" spans="1:38" x14ac:dyDescent="0.3">
      <c r="A186" t="s">
        <v>308</v>
      </c>
      <c r="B186">
        <f>SUM(C133:C141)</f>
        <v>10222</v>
      </c>
      <c r="C186">
        <f>SUM(F133:F141)</f>
        <v>6358</v>
      </c>
      <c r="D186">
        <f>SUM(I133:I141)</f>
        <v>10213</v>
      </c>
      <c r="E186" s="40">
        <f>SUM(L133:L141)</f>
        <v>22321</v>
      </c>
      <c r="F186">
        <f>SUM(O133:O141)</f>
        <v>9006</v>
      </c>
      <c r="G186">
        <f>SUM(R133:R141)</f>
        <v>6559</v>
      </c>
      <c r="H186">
        <f>SUM(U133:U141)</f>
        <v>6905</v>
      </c>
      <c r="I186">
        <f>SUM(X133:X141)</f>
        <v>8119</v>
      </c>
      <c r="J186" s="40">
        <f>SUM(AA133:AA141)</f>
        <v>13515</v>
      </c>
      <c r="K186">
        <f>SUM(AD133:AD141)</f>
        <v>4700</v>
      </c>
      <c r="L186">
        <f>SUM(AG133:AG141)</f>
        <v>9395</v>
      </c>
    </row>
    <row r="187" spans="1:38" x14ac:dyDescent="0.3">
      <c r="A187" t="s">
        <v>309</v>
      </c>
      <c r="B187">
        <f>SUM(C161:C169)</f>
        <v>10499</v>
      </c>
      <c r="C187">
        <f>SUM(F161:F169)</f>
        <v>6446</v>
      </c>
      <c r="D187">
        <f>SUM(I161:I169)</f>
        <v>9893</v>
      </c>
      <c r="E187" s="40">
        <f>SUM(L161:L169)</f>
        <v>22938</v>
      </c>
      <c r="F187">
        <f>SUM(O161:O169)</f>
        <v>9048</v>
      </c>
      <c r="G187">
        <f>SUM(R161:R169)</f>
        <v>6408</v>
      </c>
      <c r="H187">
        <f>SUM(U161:U169)</f>
        <v>6906</v>
      </c>
      <c r="I187">
        <f>SUM(X161:X169)</f>
        <v>8295</v>
      </c>
      <c r="J187" s="40">
        <f>SUM(AA161:AA169)</f>
        <v>13257</v>
      </c>
      <c r="K187">
        <f>SUM(AD161:AD169)</f>
        <v>4855</v>
      </c>
      <c r="L187">
        <f>SUM(AG161:AG169)</f>
        <v>9710</v>
      </c>
    </row>
    <row r="189" spans="1:38" x14ac:dyDescent="0.3"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38" x14ac:dyDescent="0.3">
      <c r="A190" s="116" t="s">
        <v>279</v>
      </c>
      <c r="B190" s="134" t="s">
        <v>310</v>
      </c>
      <c r="C190" s="134"/>
      <c r="D190" s="135"/>
      <c r="E190" s="134"/>
      <c r="F190" s="134"/>
      <c r="G190" s="117"/>
      <c r="H190" s="115"/>
      <c r="I190" s="115"/>
      <c r="J190" s="117"/>
      <c r="K190" s="115"/>
      <c r="L190" s="115"/>
      <c r="M190" s="117"/>
      <c r="N190" s="115"/>
      <c r="O190" s="115"/>
      <c r="P190" s="117"/>
      <c r="Q190" s="115"/>
      <c r="R190" s="115"/>
      <c r="S190" s="117"/>
      <c r="T190" s="115"/>
      <c r="U190" s="115"/>
      <c r="V190" s="117"/>
      <c r="W190" s="115"/>
      <c r="X190" s="115"/>
      <c r="Y190" s="117"/>
      <c r="Z190" s="115"/>
      <c r="AA190" s="115"/>
      <c r="AB190" s="117"/>
      <c r="AC190" s="115"/>
      <c r="AD190" s="115"/>
      <c r="AE190" s="117"/>
      <c r="AF190" s="115"/>
      <c r="AG190" s="115"/>
      <c r="AH190" s="117"/>
      <c r="AI190" s="115"/>
    </row>
    <row r="191" spans="1:38" x14ac:dyDescent="0.3">
      <c r="A191" s="115"/>
      <c r="B191" s="115">
        <v>90802</v>
      </c>
      <c r="C191" s="115"/>
      <c r="D191" s="115"/>
      <c r="E191" s="115">
        <v>90803</v>
      </c>
      <c r="F191" s="115"/>
      <c r="G191" s="115"/>
      <c r="H191" s="115">
        <v>90804</v>
      </c>
      <c r="I191" s="115"/>
      <c r="J191" s="115"/>
      <c r="K191" s="115">
        <v>90805</v>
      </c>
      <c r="L191" s="115"/>
      <c r="M191" s="115"/>
      <c r="N191" s="115">
        <v>90806</v>
      </c>
      <c r="O191" s="115"/>
      <c r="P191" s="115"/>
      <c r="Q191" s="115">
        <v>90807</v>
      </c>
      <c r="R191" s="115"/>
      <c r="S191" s="115"/>
      <c r="T191" s="115">
        <v>90808</v>
      </c>
      <c r="U191" s="115"/>
      <c r="V191" s="115"/>
      <c r="W191" s="115">
        <v>90810</v>
      </c>
      <c r="X191" s="115"/>
      <c r="Y191" s="115"/>
      <c r="Z191" s="115">
        <v>90813</v>
      </c>
      <c r="AA191" s="115"/>
      <c r="AB191" s="115"/>
      <c r="AC191" s="115">
        <v>90814</v>
      </c>
      <c r="AD191" s="115"/>
      <c r="AE191" s="115"/>
      <c r="AF191" s="115">
        <v>90815</v>
      </c>
      <c r="AG191" s="115"/>
      <c r="AH191" s="115"/>
      <c r="AI191" s="119" t="s">
        <v>311</v>
      </c>
      <c r="AJ191" s="120"/>
      <c r="AK191" s="121"/>
    </row>
    <row r="192" spans="1:38" x14ac:dyDescent="0.3">
      <c r="A192" s="115"/>
      <c r="B192" s="115" t="s">
        <v>81</v>
      </c>
      <c r="C192" s="115" t="s">
        <v>82</v>
      </c>
      <c r="D192" s="115" t="s">
        <v>83</v>
      </c>
      <c r="E192" s="115" t="s">
        <v>81</v>
      </c>
      <c r="F192" s="115" t="s">
        <v>82</v>
      </c>
      <c r="G192" s="115" t="s">
        <v>83</v>
      </c>
      <c r="H192" s="115" t="s">
        <v>81</v>
      </c>
      <c r="I192" s="115" t="s">
        <v>82</v>
      </c>
      <c r="J192" s="115" t="s">
        <v>83</v>
      </c>
      <c r="K192" s="115" t="s">
        <v>81</v>
      </c>
      <c r="L192" s="115" t="s">
        <v>82</v>
      </c>
      <c r="M192" s="115" t="s">
        <v>83</v>
      </c>
      <c r="N192" s="115" t="s">
        <v>81</v>
      </c>
      <c r="O192" s="115" t="s">
        <v>82</v>
      </c>
      <c r="P192" s="115" t="s">
        <v>83</v>
      </c>
      <c r="Q192" s="115" t="s">
        <v>81</v>
      </c>
      <c r="R192" s="115" t="s">
        <v>82</v>
      </c>
      <c r="S192" s="115" t="s">
        <v>83</v>
      </c>
      <c r="T192" s="115" t="s">
        <v>81</v>
      </c>
      <c r="U192" s="115" t="s">
        <v>82</v>
      </c>
      <c r="V192" s="115" t="s">
        <v>83</v>
      </c>
      <c r="W192" s="115" t="s">
        <v>81</v>
      </c>
      <c r="X192" s="115" t="s">
        <v>82</v>
      </c>
      <c r="Y192" s="115" t="s">
        <v>83</v>
      </c>
      <c r="Z192" s="115" t="s">
        <v>81</v>
      </c>
      <c r="AA192" s="115" t="s">
        <v>82</v>
      </c>
      <c r="AB192" s="115" t="s">
        <v>83</v>
      </c>
      <c r="AC192" s="115" t="s">
        <v>81</v>
      </c>
      <c r="AD192" s="115" t="s">
        <v>82</v>
      </c>
      <c r="AE192" s="115" t="s">
        <v>83</v>
      </c>
      <c r="AF192" s="115" t="s">
        <v>81</v>
      </c>
      <c r="AG192" s="115" t="s">
        <v>304</v>
      </c>
      <c r="AH192" s="115" t="s">
        <v>83</v>
      </c>
      <c r="AI192" s="122" t="s">
        <v>81</v>
      </c>
      <c r="AJ192" t="s">
        <v>304</v>
      </c>
      <c r="AK192" s="123" t="s">
        <v>83</v>
      </c>
      <c r="AL192" t="s">
        <v>312</v>
      </c>
    </row>
    <row r="193" spans="1:40" x14ac:dyDescent="0.3">
      <c r="A193" s="118" t="s">
        <v>83</v>
      </c>
      <c r="B193" s="127">
        <v>20924</v>
      </c>
      <c r="C193" s="127">
        <v>19088</v>
      </c>
      <c r="D193" s="127">
        <f>SUM(B193:C193)</f>
        <v>40012</v>
      </c>
      <c r="E193" s="128">
        <v>16378</v>
      </c>
      <c r="F193" s="128">
        <v>15281</v>
      </c>
      <c r="G193" s="127">
        <f>SUM(E193:F193)</f>
        <v>31659</v>
      </c>
      <c r="H193" s="128">
        <v>18367</v>
      </c>
      <c r="I193" s="128">
        <v>18932</v>
      </c>
      <c r="J193" s="127">
        <f>SUM(H193:I193)</f>
        <v>37299</v>
      </c>
      <c r="K193" s="127">
        <v>45927</v>
      </c>
      <c r="L193" s="127">
        <v>50588</v>
      </c>
      <c r="M193" s="127">
        <f>SUM(K193:L193)</f>
        <v>96515</v>
      </c>
      <c r="N193" s="128">
        <v>20804</v>
      </c>
      <c r="O193" s="128">
        <v>19884</v>
      </c>
      <c r="P193" s="127">
        <f>SUM(N193:O193)</f>
        <v>40688</v>
      </c>
      <c r="Q193" s="128">
        <v>16216</v>
      </c>
      <c r="R193" s="128">
        <v>16937</v>
      </c>
      <c r="S193" s="127">
        <f>SUM(Q193:R193)</f>
        <v>33153</v>
      </c>
      <c r="T193" s="127">
        <v>19723</v>
      </c>
      <c r="U193" s="127">
        <v>19975</v>
      </c>
      <c r="V193" s="128">
        <f>SUM(T193:U193)</f>
        <v>39698</v>
      </c>
      <c r="W193" s="128">
        <v>18083</v>
      </c>
      <c r="X193" s="128">
        <v>18223</v>
      </c>
      <c r="Y193" s="128">
        <f>SUM(W193:X193)</f>
        <v>36306</v>
      </c>
      <c r="Z193" s="128">
        <v>27001</v>
      </c>
      <c r="AA193" s="128">
        <v>26646</v>
      </c>
      <c r="AB193" s="128">
        <f>SUM(Z193:AA193)</f>
        <v>53647</v>
      </c>
      <c r="AC193" s="127">
        <v>9714</v>
      </c>
      <c r="AD193" s="127">
        <v>11009</v>
      </c>
      <c r="AE193" s="128">
        <f>SUM(AC193:AD193)</f>
        <v>20723</v>
      </c>
      <c r="AF193" s="128">
        <v>20616</v>
      </c>
      <c r="AG193" s="128">
        <v>22143</v>
      </c>
      <c r="AH193" s="128">
        <f>SUM(AF193:AG193)</f>
        <v>42759</v>
      </c>
      <c r="AI193" s="129">
        <f>SUM(B193,E193,H193,K193,N193,Q193,T193,W193,Z193,AC193,AF193)</f>
        <v>233753</v>
      </c>
      <c r="AJ193" s="130">
        <f>SUM(C193,F193,I193,L193,O193,R193,U193,X193,AA193,AD193,AG193)</f>
        <v>238706</v>
      </c>
      <c r="AK193" s="131">
        <f>SUM(D193,G193,J193,M193,P193,S193,V193,Y193,AB193,AE193,AH193)</f>
        <v>472459</v>
      </c>
      <c r="AL193" s="130">
        <v>228674</v>
      </c>
      <c r="AM193" s="130">
        <v>233619</v>
      </c>
      <c r="AN193" s="132">
        <f>SUM(AL193:AM193)</f>
        <v>462293</v>
      </c>
    </row>
    <row r="194" spans="1:40" x14ac:dyDescent="0.3">
      <c r="A194" s="44" t="s">
        <v>185</v>
      </c>
      <c r="B194" s="132">
        <v>605</v>
      </c>
      <c r="C194" s="132">
        <v>784</v>
      </c>
      <c r="D194" s="132">
        <f t="shared" ref="D194:D216" si="66">SUM(B194:C194)</f>
        <v>1389</v>
      </c>
      <c r="E194" s="130">
        <v>582</v>
      </c>
      <c r="F194" s="130">
        <v>505</v>
      </c>
      <c r="G194" s="132">
        <f t="shared" ref="G194:G216" si="67">SUM(E194:F194)</f>
        <v>1087</v>
      </c>
      <c r="H194" s="130">
        <v>966</v>
      </c>
      <c r="I194" s="130">
        <v>1080</v>
      </c>
      <c r="J194" s="132">
        <f t="shared" ref="J194:J216" si="68">SUM(H194:I194)</f>
        <v>2046</v>
      </c>
      <c r="K194" s="132">
        <v>3190</v>
      </c>
      <c r="L194" s="132">
        <v>3538</v>
      </c>
      <c r="M194" s="132">
        <f t="shared" ref="M194:M216" si="69">SUM(K194:L194)</f>
        <v>6728</v>
      </c>
      <c r="N194" s="130">
        <v>1408</v>
      </c>
      <c r="O194" s="130">
        <v>1053</v>
      </c>
      <c r="P194" s="132">
        <f t="shared" ref="P194:P216" si="70">SUM(N194:O194)</f>
        <v>2461</v>
      </c>
      <c r="Q194" s="130">
        <v>904</v>
      </c>
      <c r="R194" s="130">
        <v>665</v>
      </c>
      <c r="S194" s="132">
        <f t="shared" ref="S194:S216" si="71">SUM(Q194:R194)</f>
        <v>1569</v>
      </c>
      <c r="T194" s="132">
        <v>1014</v>
      </c>
      <c r="U194" s="132">
        <v>1078</v>
      </c>
      <c r="V194" s="130">
        <f t="shared" ref="V194:V216" si="72">SUM(T194:U194)</f>
        <v>2092</v>
      </c>
      <c r="W194" s="130">
        <v>848</v>
      </c>
      <c r="X194" s="130">
        <v>785</v>
      </c>
      <c r="Y194" s="130">
        <f t="shared" ref="Y194:Y216" si="73">SUM(W194:X194)</f>
        <v>1633</v>
      </c>
      <c r="Z194" s="130">
        <v>1548</v>
      </c>
      <c r="AA194" s="130">
        <v>1627</v>
      </c>
      <c r="AB194" s="130">
        <f>SUM(Z194:AA194)</f>
        <v>3175</v>
      </c>
      <c r="AC194" s="132">
        <v>566</v>
      </c>
      <c r="AD194" s="132">
        <v>742</v>
      </c>
      <c r="AE194" s="130">
        <f t="shared" ref="AE194:AE216" si="74">SUM(AC194:AD194)</f>
        <v>1308</v>
      </c>
      <c r="AF194" s="130">
        <v>1284</v>
      </c>
      <c r="AG194" s="130">
        <v>1183</v>
      </c>
      <c r="AH194" s="130">
        <f t="shared" ref="AH194:AH216" si="75">SUM(AF194:AG194)</f>
        <v>2467</v>
      </c>
      <c r="AI194" s="129">
        <f t="shared" ref="AI194:AI216" si="76">SUM(B194,E194,H194,K194,N194,Q194,T194,W194,Z194,AC194,AF194)</f>
        <v>12915</v>
      </c>
      <c r="AJ194" s="130">
        <f t="shared" ref="AJ194:AJ216" si="77">SUM(C194,F194,I194,L194,O194,R194,U194,X194,AA194,AD194,AG194)</f>
        <v>13040</v>
      </c>
      <c r="AK194" s="131">
        <f t="shared" ref="AK194:AK216" si="78">SUM(D194,G194,J194,M194,P194,S194,V194,Y194,AB194,AE194,AH194)</f>
        <v>25955</v>
      </c>
      <c r="AL194" s="130">
        <v>12439</v>
      </c>
      <c r="AM194" s="130">
        <v>12644</v>
      </c>
      <c r="AN194" s="132">
        <f t="shared" ref="AN194:AN216" si="79">SUM(AL194:AM194)</f>
        <v>25083</v>
      </c>
    </row>
    <row r="195" spans="1:40" x14ac:dyDescent="0.3">
      <c r="A195" s="44" t="s">
        <v>186</v>
      </c>
      <c r="B195" s="132">
        <v>651</v>
      </c>
      <c r="C195" s="132">
        <v>460</v>
      </c>
      <c r="D195" s="132">
        <f t="shared" si="66"/>
        <v>1111</v>
      </c>
      <c r="E195" s="130">
        <v>287</v>
      </c>
      <c r="F195" s="130">
        <v>336</v>
      </c>
      <c r="G195" s="132">
        <f t="shared" si="67"/>
        <v>623</v>
      </c>
      <c r="H195" s="130">
        <v>941</v>
      </c>
      <c r="I195" s="130">
        <v>734</v>
      </c>
      <c r="J195" s="132">
        <f t="shared" si="68"/>
        <v>1675</v>
      </c>
      <c r="K195" s="132">
        <v>3243</v>
      </c>
      <c r="L195" s="132">
        <v>3102</v>
      </c>
      <c r="M195" s="132">
        <f t="shared" si="69"/>
        <v>6345</v>
      </c>
      <c r="N195" s="130">
        <v>1694</v>
      </c>
      <c r="O195" s="130">
        <v>928</v>
      </c>
      <c r="P195" s="132">
        <f t="shared" si="70"/>
        <v>2622</v>
      </c>
      <c r="Q195" s="130">
        <v>772</v>
      </c>
      <c r="R195" s="130">
        <v>843</v>
      </c>
      <c r="S195" s="132">
        <f t="shared" si="71"/>
        <v>1615</v>
      </c>
      <c r="T195" s="132">
        <v>1422</v>
      </c>
      <c r="U195" s="132">
        <v>1144</v>
      </c>
      <c r="V195" s="130">
        <f t="shared" si="72"/>
        <v>2566</v>
      </c>
      <c r="W195" s="130">
        <v>1130</v>
      </c>
      <c r="X195" s="130">
        <v>1188</v>
      </c>
      <c r="Y195" s="130">
        <f t="shared" si="73"/>
        <v>2318</v>
      </c>
      <c r="Z195" s="130">
        <v>1975</v>
      </c>
      <c r="AA195" s="130">
        <v>1843</v>
      </c>
      <c r="AB195" s="130">
        <f t="shared" ref="AB195:AB216" si="80">SUM(Z195:AA195)</f>
        <v>3818</v>
      </c>
      <c r="AC195" s="132">
        <v>522</v>
      </c>
      <c r="AD195" s="132">
        <v>556</v>
      </c>
      <c r="AE195" s="130">
        <f t="shared" si="74"/>
        <v>1078</v>
      </c>
      <c r="AF195" s="130">
        <v>1021</v>
      </c>
      <c r="AG195" s="130">
        <v>806</v>
      </c>
      <c r="AH195" s="130">
        <f t="shared" si="75"/>
        <v>1827</v>
      </c>
      <c r="AI195" s="129">
        <f t="shared" si="76"/>
        <v>13658</v>
      </c>
      <c r="AJ195" s="130">
        <f t="shared" si="77"/>
        <v>11940</v>
      </c>
      <c r="AK195" s="131">
        <f t="shared" si="78"/>
        <v>25598</v>
      </c>
      <c r="AL195" s="130">
        <v>13178</v>
      </c>
      <c r="AM195" s="130">
        <v>11746</v>
      </c>
      <c r="AN195" s="132">
        <f t="shared" si="79"/>
        <v>24924</v>
      </c>
    </row>
    <row r="196" spans="1:40" x14ac:dyDescent="0.3">
      <c r="A196" s="44" t="s">
        <v>187</v>
      </c>
      <c r="B196" s="132">
        <v>854</v>
      </c>
      <c r="C196" s="132">
        <v>736</v>
      </c>
      <c r="D196" s="132">
        <f t="shared" si="66"/>
        <v>1590</v>
      </c>
      <c r="E196" s="130">
        <v>397</v>
      </c>
      <c r="F196" s="130">
        <v>446</v>
      </c>
      <c r="G196" s="132">
        <f t="shared" si="67"/>
        <v>843</v>
      </c>
      <c r="H196" s="130">
        <v>1098</v>
      </c>
      <c r="I196" s="130">
        <v>894</v>
      </c>
      <c r="J196" s="132">
        <f t="shared" si="68"/>
        <v>1992</v>
      </c>
      <c r="K196" s="132">
        <v>4024</v>
      </c>
      <c r="L196" s="132">
        <v>2839</v>
      </c>
      <c r="M196" s="132">
        <f t="shared" si="69"/>
        <v>6863</v>
      </c>
      <c r="N196" s="130">
        <v>1424</v>
      </c>
      <c r="O196" s="130">
        <v>1507</v>
      </c>
      <c r="P196" s="132">
        <f t="shared" si="70"/>
        <v>2931</v>
      </c>
      <c r="Q196" s="130">
        <v>1117</v>
      </c>
      <c r="R196" s="130">
        <v>1018</v>
      </c>
      <c r="S196" s="132">
        <f t="shared" si="71"/>
        <v>2135</v>
      </c>
      <c r="T196" s="132">
        <v>1620</v>
      </c>
      <c r="U196" s="132">
        <v>1128</v>
      </c>
      <c r="V196" s="130">
        <f t="shared" si="72"/>
        <v>2748</v>
      </c>
      <c r="W196" s="130">
        <v>1348</v>
      </c>
      <c r="X196" s="130">
        <v>1036</v>
      </c>
      <c r="Y196" s="130">
        <f t="shared" si="73"/>
        <v>2384</v>
      </c>
      <c r="Z196" s="130">
        <v>2519</v>
      </c>
      <c r="AA196" s="130">
        <v>1836</v>
      </c>
      <c r="AB196" s="130">
        <f t="shared" si="80"/>
        <v>4355</v>
      </c>
      <c r="AC196" s="132">
        <v>511</v>
      </c>
      <c r="AD196" s="132">
        <v>423</v>
      </c>
      <c r="AE196" s="130">
        <f t="shared" si="74"/>
        <v>934</v>
      </c>
      <c r="AF196" s="130">
        <v>1290</v>
      </c>
      <c r="AG196" s="130">
        <v>1339</v>
      </c>
      <c r="AH196" s="130">
        <f t="shared" si="75"/>
        <v>2629</v>
      </c>
      <c r="AI196" s="129">
        <f t="shared" si="76"/>
        <v>16202</v>
      </c>
      <c r="AJ196" s="130">
        <f t="shared" si="77"/>
        <v>13202</v>
      </c>
      <c r="AK196" s="131">
        <f t="shared" si="78"/>
        <v>29404</v>
      </c>
      <c r="AL196" s="130">
        <v>15891</v>
      </c>
      <c r="AM196" s="130">
        <v>12964</v>
      </c>
      <c r="AN196" s="132">
        <f t="shared" si="79"/>
        <v>28855</v>
      </c>
    </row>
    <row r="197" spans="1:40" x14ac:dyDescent="0.3">
      <c r="A197" s="44" t="s">
        <v>188</v>
      </c>
      <c r="B197" s="132">
        <v>415</v>
      </c>
      <c r="C197" s="132">
        <v>681</v>
      </c>
      <c r="D197" s="132">
        <f t="shared" si="66"/>
        <v>1096</v>
      </c>
      <c r="E197" s="130">
        <v>558</v>
      </c>
      <c r="F197" s="130">
        <v>198</v>
      </c>
      <c r="G197" s="132">
        <f t="shared" si="67"/>
        <v>756</v>
      </c>
      <c r="H197" s="130">
        <v>525</v>
      </c>
      <c r="I197" s="130">
        <v>336</v>
      </c>
      <c r="J197" s="132">
        <f t="shared" si="68"/>
        <v>861</v>
      </c>
      <c r="K197" s="132">
        <v>2114</v>
      </c>
      <c r="L197" s="132">
        <v>2576</v>
      </c>
      <c r="M197" s="132">
        <f t="shared" si="69"/>
        <v>4690</v>
      </c>
      <c r="N197" s="130">
        <v>815</v>
      </c>
      <c r="O197" s="130">
        <v>616</v>
      </c>
      <c r="P197" s="132">
        <f t="shared" si="70"/>
        <v>1431</v>
      </c>
      <c r="Q197" s="130">
        <v>598</v>
      </c>
      <c r="R197" s="130">
        <v>535</v>
      </c>
      <c r="S197" s="132">
        <f t="shared" si="71"/>
        <v>1133</v>
      </c>
      <c r="T197" s="132">
        <v>687</v>
      </c>
      <c r="U197" s="132">
        <v>712</v>
      </c>
      <c r="V197" s="130">
        <f t="shared" si="72"/>
        <v>1399</v>
      </c>
      <c r="W197" s="130">
        <v>905</v>
      </c>
      <c r="X197" s="130">
        <v>800</v>
      </c>
      <c r="Y197" s="130">
        <f t="shared" si="73"/>
        <v>1705</v>
      </c>
      <c r="Z197" s="130">
        <v>1028</v>
      </c>
      <c r="AA197" s="130">
        <v>1257</v>
      </c>
      <c r="AB197" s="130">
        <f t="shared" si="80"/>
        <v>2285</v>
      </c>
      <c r="AC197" s="132">
        <v>271</v>
      </c>
      <c r="AD197" s="132">
        <v>223</v>
      </c>
      <c r="AE197" s="130">
        <f t="shared" si="74"/>
        <v>494</v>
      </c>
      <c r="AF197" s="130">
        <v>860</v>
      </c>
      <c r="AG197" s="130">
        <v>518</v>
      </c>
      <c r="AH197" s="130">
        <f t="shared" si="75"/>
        <v>1378</v>
      </c>
      <c r="AI197" s="129">
        <f t="shared" si="76"/>
        <v>8776</v>
      </c>
      <c r="AJ197" s="130">
        <f t="shared" si="77"/>
        <v>8452</v>
      </c>
      <c r="AK197" s="131">
        <f t="shared" si="78"/>
        <v>17228</v>
      </c>
      <c r="AL197" s="130">
        <v>8538</v>
      </c>
      <c r="AM197" s="130">
        <v>8323</v>
      </c>
      <c r="AN197" s="132">
        <f t="shared" si="79"/>
        <v>16861</v>
      </c>
    </row>
    <row r="198" spans="1:40" x14ac:dyDescent="0.3">
      <c r="A198" s="44" t="s">
        <v>189</v>
      </c>
      <c r="B198" s="132">
        <v>508</v>
      </c>
      <c r="C198" s="132">
        <v>228</v>
      </c>
      <c r="D198" s="132">
        <f t="shared" si="66"/>
        <v>736</v>
      </c>
      <c r="E198" s="130">
        <v>345</v>
      </c>
      <c r="F198" s="130">
        <v>309</v>
      </c>
      <c r="G198" s="132">
        <f t="shared" si="67"/>
        <v>654</v>
      </c>
      <c r="H198" s="130">
        <v>462</v>
      </c>
      <c r="I198" s="130">
        <v>608</v>
      </c>
      <c r="J198" s="132">
        <f t="shared" si="68"/>
        <v>1070</v>
      </c>
      <c r="K198" s="132">
        <v>1186</v>
      </c>
      <c r="L198" s="132">
        <v>1790</v>
      </c>
      <c r="M198" s="132">
        <f t="shared" si="69"/>
        <v>2976</v>
      </c>
      <c r="N198" s="130">
        <v>527</v>
      </c>
      <c r="O198" s="130">
        <v>583</v>
      </c>
      <c r="P198" s="132">
        <f t="shared" si="70"/>
        <v>1110</v>
      </c>
      <c r="Q198" s="130">
        <v>421</v>
      </c>
      <c r="R198" s="130">
        <v>429</v>
      </c>
      <c r="S198" s="132">
        <f t="shared" si="71"/>
        <v>850</v>
      </c>
      <c r="T198" s="132">
        <v>341</v>
      </c>
      <c r="U198" s="132">
        <v>370</v>
      </c>
      <c r="V198" s="130">
        <f t="shared" si="72"/>
        <v>711</v>
      </c>
      <c r="W198" s="130">
        <v>709</v>
      </c>
      <c r="X198" s="130">
        <v>460</v>
      </c>
      <c r="Y198" s="130">
        <f t="shared" si="73"/>
        <v>1169</v>
      </c>
      <c r="Z198" s="130">
        <v>956</v>
      </c>
      <c r="AA198" s="130">
        <v>818</v>
      </c>
      <c r="AB198" s="130">
        <f t="shared" si="80"/>
        <v>1774</v>
      </c>
      <c r="AC198" s="132">
        <v>61</v>
      </c>
      <c r="AD198" s="132">
        <v>128</v>
      </c>
      <c r="AE198" s="130">
        <f t="shared" si="74"/>
        <v>189</v>
      </c>
      <c r="AF198" s="130">
        <v>916</v>
      </c>
      <c r="AG198" s="130">
        <v>1364</v>
      </c>
      <c r="AH198" s="130">
        <f t="shared" si="75"/>
        <v>2280</v>
      </c>
      <c r="AI198" s="129">
        <f t="shared" si="76"/>
        <v>6432</v>
      </c>
      <c r="AJ198" s="130">
        <f t="shared" si="77"/>
        <v>7087</v>
      </c>
      <c r="AK198" s="131">
        <f t="shared" si="78"/>
        <v>13519</v>
      </c>
      <c r="AL198" s="130">
        <v>6329</v>
      </c>
      <c r="AM198" s="130">
        <v>6941</v>
      </c>
      <c r="AN198" s="132">
        <f t="shared" si="79"/>
        <v>13270</v>
      </c>
    </row>
    <row r="199" spans="1:40" x14ac:dyDescent="0.3">
      <c r="A199" s="44" t="s">
        <v>190</v>
      </c>
      <c r="B199" s="132">
        <v>55</v>
      </c>
      <c r="C199" s="132">
        <v>228</v>
      </c>
      <c r="D199" s="132">
        <f t="shared" si="66"/>
        <v>283</v>
      </c>
      <c r="E199" s="130">
        <v>19</v>
      </c>
      <c r="F199" s="130">
        <v>28</v>
      </c>
      <c r="G199" s="132">
        <f t="shared" si="67"/>
        <v>47</v>
      </c>
      <c r="H199" s="130">
        <v>167</v>
      </c>
      <c r="I199" s="130">
        <v>394</v>
      </c>
      <c r="J199" s="132">
        <f t="shared" si="68"/>
        <v>561</v>
      </c>
      <c r="K199" s="132">
        <v>752</v>
      </c>
      <c r="L199" s="132">
        <v>626</v>
      </c>
      <c r="M199" s="132">
        <f t="shared" si="69"/>
        <v>1378</v>
      </c>
      <c r="N199" s="130">
        <v>399</v>
      </c>
      <c r="O199" s="130">
        <v>327</v>
      </c>
      <c r="P199" s="132">
        <f t="shared" si="70"/>
        <v>726</v>
      </c>
      <c r="Q199" s="130">
        <v>132</v>
      </c>
      <c r="R199" s="130">
        <v>318</v>
      </c>
      <c r="S199" s="132">
        <f t="shared" si="71"/>
        <v>450</v>
      </c>
      <c r="T199" s="132">
        <v>40</v>
      </c>
      <c r="U199" s="132">
        <v>163</v>
      </c>
      <c r="V199" s="130">
        <f t="shared" si="72"/>
        <v>203</v>
      </c>
      <c r="W199" s="130">
        <v>224</v>
      </c>
      <c r="X199" s="130">
        <v>229</v>
      </c>
      <c r="Y199" s="130">
        <f t="shared" si="73"/>
        <v>453</v>
      </c>
      <c r="Z199" s="130">
        <v>394</v>
      </c>
      <c r="AA199" s="130">
        <v>406</v>
      </c>
      <c r="AB199" s="130">
        <f t="shared" si="80"/>
        <v>800</v>
      </c>
      <c r="AC199" s="132">
        <v>18</v>
      </c>
      <c r="AD199" s="132">
        <v>90</v>
      </c>
      <c r="AE199" s="130">
        <f t="shared" si="74"/>
        <v>108</v>
      </c>
      <c r="AF199" s="130">
        <v>418</v>
      </c>
      <c r="AG199" s="130">
        <v>564</v>
      </c>
      <c r="AH199" s="130">
        <f t="shared" si="75"/>
        <v>982</v>
      </c>
      <c r="AI199" s="129">
        <f t="shared" si="76"/>
        <v>2618</v>
      </c>
      <c r="AJ199" s="130">
        <f t="shared" si="77"/>
        <v>3373</v>
      </c>
      <c r="AK199" s="131">
        <f t="shared" si="78"/>
        <v>5991</v>
      </c>
      <c r="AL199" s="130">
        <v>2562</v>
      </c>
      <c r="AM199" s="130">
        <v>3335</v>
      </c>
      <c r="AN199" s="132">
        <f t="shared" si="79"/>
        <v>5897</v>
      </c>
    </row>
    <row r="200" spans="1:40" x14ac:dyDescent="0.3">
      <c r="A200" s="44" t="s">
        <v>191</v>
      </c>
      <c r="B200" s="132">
        <v>285</v>
      </c>
      <c r="C200" s="132">
        <v>144</v>
      </c>
      <c r="D200" s="132">
        <f t="shared" si="66"/>
        <v>429</v>
      </c>
      <c r="E200" s="130">
        <v>62</v>
      </c>
      <c r="F200" s="130">
        <v>140</v>
      </c>
      <c r="G200" s="132">
        <f t="shared" si="67"/>
        <v>202</v>
      </c>
      <c r="H200" s="130">
        <v>479</v>
      </c>
      <c r="I200" s="130">
        <v>184</v>
      </c>
      <c r="J200" s="132">
        <f t="shared" si="68"/>
        <v>663</v>
      </c>
      <c r="K200" s="132">
        <v>882</v>
      </c>
      <c r="L200" s="132">
        <v>1024</v>
      </c>
      <c r="M200" s="132">
        <f t="shared" si="69"/>
        <v>1906</v>
      </c>
      <c r="N200" s="130">
        <v>397</v>
      </c>
      <c r="O200" s="130">
        <v>188</v>
      </c>
      <c r="P200" s="132">
        <f t="shared" si="70"/>
        <v>585</v>
      </c>
      <c r="Q200" s="130">
        <v>175</v>
      </c>
      <c r="R200" s="130">
        <v>205</v>
      </c>
      <c r="S200" s="132">
        <f t="shared" si="71"/>
        <v>380</v>
      </c>
      <c r="T200" s="132">
        <v>179</v>
      </c>
      <c r="U200" s="132">
        <v>133</v>
      </c>
      <c r="V200" s="130">
        <f t="shared" si="72"/>
        <v>312</v>
      </c>
      <c r="W200" s="130">
        <v>366</v>
      </c>
      <c r="X200" s="130">
        <v>366</v>
      </c>
      <c r="Y200" s="130">
        <f t="shared" si="73"/>
        <v>732</v>
      </c>
      <c r="Z200" s="130">
        <v>588</v>
      </c>
      <c r="AA200" s="130">
        <v>418</v>
      </c>
      <c r="AB200" s="130">
        <f t="shared" si="80"/>
        <v>1006</v>
      </c>
      <c r="AC200" s="132">
        <v>241</v>
      </c>
      <c r="AD200" s="132">
        <v>149</v>
      </c>
      <c r="AE200" s="130">
        <f t="shared" si="74"/>
        <v>390</v>
      </c>
      <c r="AF200" s="130">
        <v>349</v>
      </c>
      <c r="AG200" s="130">
        <v>425</v>
      </c>
      <c r="AH200" s="130">
        <f t="shared" si="75"/>
        <v>774</v>
      </c>
      <c r="AI200" s="129">
        <f t="shared" si="76"/>
        <v>4003</v>
      </c>
      <c r="AJ200" s="130">
        <f t="shared" si="77"/>
        <v>3376</v>
      </c>
      <c r="AK200" s="131">
        <f t="shared" si="78"/>
        <v>7379</v>
      </c>
      <c r="AL200" s="130">
        <v>3931</v>
      </c>
      <c r="AM200" s="130">
        <v>3285</v>
      </c>
      <c r="AN200" s="132">
        <f t="shared" si="79"/>
        <v>7216</v>
      </c>
    </row>
    <row r="201" spans="1:40" x14ac:dyDescent="0.3">
      <c r="A201" s="44" t="s">
        <v>192</v>
      </c>
      <c r="B201" s="132">
        <v>1144</v>
      </c>
      <c r="C201" s="132">
        <v>1361</v>
      </c>
      <c r="D201" s="132">
        <f t="shared" si="66"/>
        <v>2505</v>
      </c>
      <c r="E201" s="130">
        <v>414</v>
      </c>
      <c r="F201" s="130">
        <v>567</v>
      </c>
      <c r="G201" s="132">
        <f t="shared" si="67"/>
        <v>981</v>
      </c>
      <c r="H201" s="130">
        <v>919</v>
      </c>
      <c r="I201" s="130">
        <v>939</v>
      </c>
      <c r="J201" s="132">
        <f t="shared" si="68"/>
        <v>1858</v>
      </c>
      <c r="K201" s="132">
        <v>2256</v>
      </c>
      <c r="L201" s="132">
        <v>2504</v>
      </c>
      <c r="M201" s="132">
        <f t="shared" si="69"/>
        <v>4760</v>
      </c>
      <c r="N201" s="130">
        <v>1025</v>
      </c>
      <c r="O201" s="130">
        <v>765</v>
      </c>
      <c r="P201" s="132">
        <f t="shared" si="70"/>
        <v>1790</v>
      </c>
      <c r="Q201" s="130">
        <v>629</v>
      </c>
      <c r="R201" s="130">
        <v>505</v>
      </c>
      <c r="S201" s="132">
        <f t="shared" si="71"/>
        <v>1134</v>
      </c>
      <c r="T201" s="132">
        <v>450</v>
      </c>
      <c r="U201" s="132">
        <v>651</v>
      </c>
      <c r="V201" s="130">
        <f t="shared" si="72"/>
        <v>1101</v>
      </c>
      <c r="W201" s="130">
        <v>802</v>
      </c>
      <c r="X201" s="130">
        <v>615</v>
      </c>
      <c r="Y201" s="130">
        <f t="shared" si="73"/>
        <v>1417</v>
      </c>
      <c r="Z201" s="130">
        <v>1191</v>
      </c>
      <c r="AA201" s="130">
        <v>1549</v>
      </c>
      <c r="AB201" s="130">
        <f t="shared" si="80"/>
        <v>2740</v>
      </c>
      <c r="AC201" s="132">
        <v>337</v>
      </c>
      <c r="AD201" s="132">
        <v>552</v>
      </c>
      <c r="AE201" s="130">
        <f t="shared" si="74"/>
        <v>889</v>
      </c>
      <c r="AF201" s="130">
        <v>957</v>
      </c>
      <c r="AG201" s="130">
        <v>1042</v>
      </c>
      <c r="AH201" s="130">
        <f t="shared" si="75"/>
        <v>1999</v>
      </c>
      <c r="AI201" s="129">
        <f t="shared" si="76"/>
        <v>10124</v>
      </c>
      <c r="AJ201" s="130">
        <f t="shared" si="77"/>
        <v>11050</v>
      </c>
      <c r="AK201" s="131">
        <f t="shared" si="78"/>
        <v>21174</v>
      </c>
      <c r="AL201" s="130">
        <v>10007</v>
      </c>
      <c r="AM201" s="130">
        <v>10882</v>
      </c>
      <c r="AN201" s="132">
        <f t="shared" si="79"/>
        <v>20889</v>
      </c>
    </row>
    <row r="202" spans="1:40" x14ac:dyDescent="0.3">
      <c r="A202" s="44" t="s">
        <v>193</v>
      </c>
      <c r="B202" s="132">
        <v>2503</v>
      </c>
      <c r="C202" s="132">
        <v>2553</v>
      </c>
      <c r="D202" s="132">
        <f t="shared" si="66"/>
        <v>5056</v>
      </c>
      <c r="E202" s="130">
        <v>1399</v>
      </c>
      <c r="F202" s="130">
        <v>1145</v>
      </c>
      <c r="G202" s="132">
        <f t="shared" si="67"/>
        <v>2544</v>
      </c>
      <c r="H202" s="130">
        <v>1613</v>
      </c>
      <c r="I202" s="130">
        <v>2698</v>
      </c>
      <c r="J202" s="132">
        <f t="shared" si="68"/>
        <v>4311</v>
      </c>
      <c r="K202" s="132">
        <v>3821</v>
      </c>
      <c r="L202" s="132">
        <v>4810</v>
      </c>
      <c r="M202" s="132">
        <f t="shared" si="69"/>
        <v>8631</v>
      </c>
      <c r="N202" s="130">
        <v>1849</v>
      </c>
      <c r="O202" s="130">
        <v>1879</v>
      </c>
      <c r="P202" s="132">
        <f t="shared" si="70"/>
        <v>3728</v>
      </c>
      <c r="Q202" s="130">
        <v>961</v>
      </c>
      <c r="R202" s="130">
        <v>989</v>
      </c>
      <c r="S202" s="132">
        <f t="shared" si="71"/>
        <v>1950</v>
      </c>
      <c r="T202" s="132">
        <v>1027</v>
      </c>
      <c r="U202" s="132">
        <v>780</v>
      </c>
      <c r="V202" s="130">
        <f t="shared" si="72"/>
        <v>1807</v>
      </c>
      <c r="W202" s="130">
        <v>1269</v>
      </c>
      <c r="X202" s="130">
        <v>1617</v>
      </c>
      <c r="Y202" s="130">
        <f t="shared" si="73"/>
        <v>2886</v>
      </c>
      <c r="Z202" s="130">
        <v>2545</v>
      </c>
      <c r="AA202" s="130">
        <v>2295</v>
      </c>
      <c r="AB202" s="130">
        <f t="shared" si="80"/>
        <v>4840</v>
      </c>
      <c r="AC202" s="132">
        <v>921</v>
      </c>
      <c r="AD202" s="132">
        <v>1137</v>
      </c>
      <c r="AE202" s="130">
        <f t="shared" si="74"/>
        <v>2058</v>
      </c>
      <c r="AF202" s="130">
        <v>1292</v>
      </c>
      <c r="AG202" s="130">
        <v>1727</v>
      </c>
      <c r="AH202" s="130">
        <f t="shared" si="75"/>
        <v>3019</v>
      </c>
      <c r="AI202" s="129">
        <f t="shared" si="76"/>
        <v>19200</v>
      </c>
      <c r="AJ202" s="130">
        <f t="shared" si="77"/>
        <v>21630</v>
      </c>
      <c r="AK202" s="131">
        <f t="shared" si="78"/>
        <v>40830</v>
      </c>
      <c r="AL202" s="130">
        <v>18755</v>
      </c>
      <c r="AM202" s="130">
        <v>21201</v>
      </c>
      <c r="AN202" s="132">
        <f t="shared" si="79"/>
        <v>39956</v>
      </c>
    </row>
    <row r="203" spans="1:40" x14ac:dyDescent="0.3">
      <c r="A203" s="44" t="s">
        <v>194</v>
      </c>
      <c r="B203" s="132">
        <v>3206</v>
      </c>
      <c r="C203" s="132">
        <v>2391</v>
      </c>
      <c r="D203" s="132">
        <f t="shared" si="66"/>
        <v>5597</v>
      </c>
      <c r="E203" s="130">
        <v>1443</v>
      </c>
      <c r="F203" s="130">
        <v>1508</v>
      </c>
      <c r="G203" s="132">
        <f t="shared" si="67"/>
        <v>2951</v>
      </c>
      <c r="H203" s="130">
        <v>2580</v>
      </c>
      <c r="I203" s="130">
        <v>1792</v>
      </c>
      <c r="J203" s="132">
        <f t="shared" si="68"/>
        <v>4372</v>
      </c>
      <c r="K203" s="132">
        <v>4092</v>
      </c>
      <c r="L203" s="132">
        <v>3674</v>
      </c>
      <c r="M203" s="132">
        <f t="shared" si="69"/>
        <v>7766</v>
      </c>
      <c r="N203" s="130">
        <v>1545</v>
      </c>
      <c r="O203" s="130">
        <v>1402</v>
      </c>
      <c r="P203" s="132">
        <f t="shared" si="70"/>
        <v>2947</v>
      </c>
      <c r="Q203" s="130">
        <v>844</v>
      </c>
      <c r="R203" s="130">
        <v>1312</v>
      </c>
      <c r="S203" s="132">
        <f t="shared" si="71"/>
        <v>2156</v>
      </c>
      <c r="T203" s="132">
        <v>1230</v>
      </c>
      <c r="U203" s="132">
        <v>1142</v>
      </c>
      <c r="V203" s="130">
        <f t="shared" si="72"/>
        <v>2372</v>
      </c>
      <c r="W203" s="130">
        <v>1334</v>
      </c>
      <c r="X203" s="130">
        <v>1400</v>
      </c>
      <c r="Y203" s="130">
        <f t="shared" si="73"/>
        <v>2734</v>
      </c>
      <c r="Z203" s="130">
        <v>2561</v>
      </c>
      <c r="AA203" s="130">
        <v>2377</v>
      </c>
      <c r="AB203" s="130">
        <f t="shared" si="80"/>
        <v>4938</v>
      </c>
      <c r="AC203" s="132">
        <v>1017</v>
      </c>
      <c r="AD203" s="132">
        <v>1179</v>
      </c>
      <c r="AE203" s="130">
        <f t="shared" si="74"/>
        <v>2196</v>
      </c>
      <c r="AF203" s="130">
        <v>1270</v>
      </c>
      <c r="AG203" s="130">
        <v>1385</v>
      </c>
      <c r="AH203" s="130">
        <f t="shared" si="75"/>
        <v>2655</v>
      </c>
      <c r="AI203" s="129">
        <f t="shared" si="76"/>
        <v>21122</v>
      </c>
      <c r="AJ203" s="130">
        <f t="shared" si="77"/>
        <v>19562</v>
      </c>
      <c r="AK203" s="131">
        <f t="shared" si="78"/>
        <v>40684</v>
      </c>
      <c r="AL203" s="130">
        <v>20679</v>
      </c>
      <c r="AM203" s="130">
        <v>19275</v>
      </c>
      <c r="AN203" s="132">
        <f t="shared" si="79"/>
        <v>39954</v>
      </c>
    </row>
    <row r="204" spans="1:40" x14ac:dyDescent="0.3">
      <c r="A204" s="44" t="s">
        <v>195</v>
      </c>
      <c r="B204" s="132">
        <v>2290</v>
      </c>
      <c r="C204" s="132">
        <v>1558</v>
      </c>
      <c r="D204" s="132">
        <f t="shared" si="66"/>
        <v>3848</v>
      </c>
      <c r="E204" s="130">
        <v>1153</v>
      </c>
      <c r="F204" s="130">
        <v>1320</v>
      </c>
      <c r="G204" s="132">
        <f t="shared" si="67"/>
        <v>2473</v>
      </c>
      <c r="H204" s="130">
        <v>1310</v>
      </c>
      <c r="I204" s="130">
        <v>1429</v>
      </c>
      <c r="J204" s="132">
        <f t="shared" si="68"/>
        <v>2739</v>
      </c>
      <c r="K204" s="132">
        <v>3312</v>
      </c>
      <c r="L204" s="132">
        <v>3429</v>
      </c>
      <c r="M204" s="132">
        <f t="shared" si="69"/>
        <v>6741</v>
      </c>
      <c r="N204" s="130">
        <v>1679</v>
      </c>
      <c r="O204" s="130">
        <v>1608</v>
      </c>
      <c r="P204" s="132">
        <f t="shared" si="70"/>
        <v>3287</v>
      </c>
      <c r="Q204" s="130">
        <v>1324</v>
      </c>
      <c r="R204" s="130">
        <v>1264</v>
      </c>
      <c r="S204" s="132">
        <f t="shared" si="71"/>
        <v>2588</v>
      </c>
      <c r="T204" s="132">
        <v>1370</v>
      </c>
      <c r="U204" s="132">
        <v>1426</v>
      </c>
      <c r="V204" s="130">
        <f t="shared" si="72"/>
        <v>2796</v>
      </c>
      <c r="W204" s="130">
        <v>1278</v>
      </c>
      <c r="X204" s="130">
        <v>1297</v>
      </c>
      <c r="Y204" s="130">
        <f t="shared" si="73"/>
        <v>2575</v>
      </c>
      <c r="Z204" s="130">
        <v>1818</v>
      </c>
      <c r="AA204" s="130">
        <v>1689</v>
      </c>
      <c r="AB204" s="130">
        <f t="shared" si="80"/>
        <v>3507</v>
      </c>
      <c r="AC204" s="132">
        <v>1198</v>
      </c>
      <c r="AD204" s="132">
        <v>1235</v>
      </c>
      <c r="AE204" s="130">
        <f t="shared" si="74"/>
        <v>2433</v>
      </c>
      <c r="AF204" s="130">
        <v>1401</v>
      </c>
      <c r="AG204" s="130">
        <v>1480</v>
      </c>
      <c r="AH204" s="130">
        <f t="shared" si="75"/>
        <v>2881</v>
      </c>
      <c r="AI204" s="129">
        <f t="shared" si="76"/>
        <v>18133</v>
      </c>
      <c r="AJ204" s="130">
        <f t="shared" si="77"/>
        <v>17735</v>
      </c>
      <c r="AK204" s="131">
        <f t="shared" si="78"/>
        <v>35868</v>
      </c>
      <c r="AL204" s="130">
        <v>17717</v>
      </c>
      <c r="AM204" s="130">
        <v>17419</v>
      </c>
      <c r="AN204" s="132">
        <f t="shared" si="79"/>
        <v>35136</v>
      </c>
    </row>
    <row r="205" spans="1:40" x14ac:dyDescent="0.3">
      <c r="A205" s="44" t="s">
        <v>196</v>
      </c>
      <c r="B205" s="132">
        <v>1624</v>
      </c>
      <c r="C205" s="132">
        <v>1429</v>
      </c>
      <c r="D205" s="132">
        <f t="shared" si="66"/>
        <v>3053</v>
      </c>
      <c r="E205" s="130">
        <v>1335</v>
      </c>
      <c r="F205" s="130">
        <v>733</v>
      </c>
      <c r="G205" s="132">
        <f t="shared" si="67"/>
        <v>2068</v>
      </c>
      <c r="H205" s="130">
        <v>1494</v>
      </c>
      <c r="I205" s="130">
        <v>1220</v>
      </c>
      <c r="J205" s="132">
        <f t="shared" si="68"/>
        <v>2714</v>
      </c>
      <c r="K205" s="132">
        <v>2622</v>
      </c>
      <c r="L205" s="132">
        <v>3291</v>
      </c>
      <c r="M205" s="132">
        <f t="shared" si="69"/>
        <v>5913</v>
      </c>
      <c r="N205" s="130">
        <v>1295</v>
      </c>
      <c r="O205" s="130">
        <v>1234</v>
      </c>
      <c r="P205" s="132">
        <f t="shared" si="70"/>
        <v>2529</v>
      </c>
      <c r="Q205" s="130">
        <v>822</v>
      </c>
      <c r="R205" s="130">
        <v>1134</v>
      </c>
      <c r="S205" s="132">
        <f t="shared" si="71"/>
        <v>1956</v>
      </c>
      <c r="T205" s="132">
        <v>1283</v>
      </c>
      <c r="U205" s="132">
        <v>1406</v>
      </c>
      <c r="V205" s="130">
        <f t="shared" si="72"/>
        <v>2689</v>
      </c>
      <c r="W205" s="130">
        <v>1167</v>
      </c>
      <c r="X205" s="130">
        <v>959</v>
      </c>
      <c r="Y205" s="130">
        <f t="shared" si="73"/>
        <v>2126</v>
      </c>
      <c r="Z205" s="130">
        <v>1815</v>
      </c>
      <c r="AA205" s="130">
        <v>1586</v>
      </c>
      <c r="AB205" s="130">
        <f t="shared" si="80"/>
        <v>3401</v>
      </c>
      <c r="AC205" s="132">
        <v>605</v>
      </c>
      <c r="AD205" s="132">
        <v>585</v>
      </c>
      <c r="AE205" s="130">
        <f t="shared" si="74"/>
        <v>1190</v>
      </c>
      <c r="AF205" s="130">
        <v>1409</v>
      </c>
      <c r="AG205" s="130">
        <v>1305</v>
      </c>
      <c r="AH205" s="130">
        <f t="shared" si="75"/>
        <v>2714</v>
      </c>
      <c r="AI205" s="129">
        <f t="shared" si="76"/>
        <v>15471</v>
      </c>
      <c r="AJ205" s="130">
        <f t="shared" si="77"/>
        <v>14882</v>
      </c>
      <c r="AK205" s="131">
        <f t="shared" si="78"/>
        <v>30353</v>
      </c>
      <c r="AL205" s="130">
        <v>15134</v>
      </c>
      <c r="AM205" s="130">
        <v>14450</v>
      </c>
      <c r="AN205" s="132">
        <f t="shared" si="79"/>
        <v>29584</v>
      </c>
    </row>
    <row r="206" spans="1:40" x14ac:dyDescent="0.3">
      <c r="A206" s="44" t="s">
        <v>197</v>
      </c>
      <c r="B206" s="132">
        <v>1395</v>
      </c>
      <c r="C206" s="132">
        <v>1074</v>
      </c>
      <c r="D206" s="132">
        <f t="shared" si="66"/>
        <v>2469</v>
      </c>
      <c r="E206" s="130">
        <v>1570</v>
      </c>
      <c r="F206" s="130">
        <v>903</v>
      </c>
      <c r="G206" s="132">
        <f t="shared" si="67"/>
        <v>2473</v>
      </c>
      <c r="H206" s="130">
        <v>1117</v>
      </c>
      <c r="I206" s="130">
        <v>1264</v>
      </c>
      <c r="J206" s="132">
        <f t="shared" si="68"/>
        <v>2381</v>
      </c>
      <c r="K206" s="132">
        <v>2915</v>
      </c>
      <c r="L206" s="132">
        <v>3163</v>
      </c>
      <c r="M206" s="132">
        <f t="shared" si="69"/>
        <v>6078</v>
      </c>
      <c r="N206" s="130">
        <v>1187</v>
      </c>
      <c r="O206" s="130">
        <v>1342</v>
      </c>
      <c r="P206" s="132">
        <f t="shared" si="70"/>
        <v>2529</v>
      </c>
      <c r="Q206" s="130">
        <v>1653</v>
      </c>
      <c r="R206" s="130">
        <v>1373</v>
      </c>
      <c r="S206" s="132">
        <f t="shared" si="71"/>
        <v>3026</v>
      </c>
      <c r="T206" s="132">
        <v>1364</v>
      </c>
      <c r="U206" s="132">
        <v>1490</v>
      </c>
      <c r="V206" s="130">
        <f t="shared" si="72"/>
        <v>2854</v>
      </c>
      <c r="W206" s="130">
        <v>771</v>
      </c>
      <c r="X206" s="130">
        <v>827</v>
      </c>
      <c r="Y206" s="130">
        <f t="shared" si="73"/>
        <v>1598</v>
      </c>
      <c r="Z206" s="130">
        <v>1320</v>
      </c>
      <c r="AA206" s="130">
        <v>1606</v>
      </c>
      <c r="AB206" s="130">
        <f t="shared" si="80"/>
        <v>2926</v>
      </c>
      <c r="AC206" s="132">
        <v>475</v>
      </c>
      <c r="AD206" s="132">
        <v>787</v>
      </c>
      <c r="AE206" s="130">
        <f t="shared" si="74"/>
        <v>1262</v>
      </c>
      <c r="AF206" s="130">
        <v>1344</v>
      </c>
      <c r="AG206" s="130">
        <v>1712</v>
      </c>
      <c r="AH206" s="130">
        <f t="shared" si="75"/>
        <v>3056</v>
      </c>
      <c r="AI206" s="129">
        <f t="shared" si="76"/>
        <v>15111</v>
      </c>
      <c r="AJ206" s="130">
        <f t="shared" si="77"/>
        <v>15541</v>
      </c>
      <c r="AK206" s="131">
        <f t="shared" si="78"/>
        <v>30652</v>
      </c>
      <c r="AL206" s="130">
        <v>14798</v>
      </c>
      <c r="AM206" s="130">
        <v>15248</v>
      </c>
      <c r="AN206" s="132">
        <f t="shared" si="79"/>
        <v>30046</v>
      </c>
    </row>
    <row r="207" spans="1:40" x14ac:dyDescent="0.3">
      <c r="A207" s="44" t="s">
        <v>198</v>
      </c>
      <c r="B207" s="132">
        <v>1549</v>
      </c>
      <c r="C207" s="132">
        <v>896</v>
      </c>
      <c r="D207" s="132">
        <f t="shared" si="66"/>
        <v>2445</v>
      </c>
      <c r="E207" s="130">
        <v>1058</v>
      </c>
      <c r="F207" s="130">
        <v>1255</v>
      </c>
      <c r="G207" s="132">
        <f t="shared" si="67"/>
        <v>2313</v>
      </c>
      <c r="H207" s="130">
        <v>1271</v>
      </c>
      <c r="I207" s="130">
        <v>1592</v>
      </c>
      <c r="J207" s="132">
        <f t="shared" si="68"/>
        <v>2863</v>
      </c>
      <c r="K207" s="132">
        <v>2717</v>
      </c>
      <c r="L207" s="132">
        <v>3196</v>
      </c>
      <c r="M207" s="132">
        <f t="shared" si="69"/>
        <v>5913</v>
      </c>
      <c r="N207" s="130">
        <v>1490</v>
      </c>
      <c r="O207" s="130">
        <v>1123</v>
      </c>
      <c r="P207" s="132">
        <f t="shared" si="70"/>
        <v>2613</v>
      </c>
      <c r="Q207" s="130">
        <v>1191</v>
      </c>
      <c r="R207" s="130">
        <v>1038</v>
      </c>
      <c r="S207" s="132">
        <f t="shared" si="71"/>
        <v>2229</v>
      </c>
      <c r="T207" s="132">
        <v>1698</v>
      </c>
      <c r="U207" s="132">
        <v>1388</v>
      </c>
      <c r="V207" s="130">
        <f t="shared" si="72"/>
        <v>3086</v>
      </c>
      <c r="W207" s="130">
        <v>1275</v>
      </c>
      <c r="X207" s="130">
        <v>1472</v>
      </c>
      <c r="Y207" s="130">
        <f t="shared" si="73"/>
        <v>2747</v>
      </c>
      <c r="Z207" s="130">
        <v>1524</v>
      </c>
      <c r="AA207" s="130">
        <v>1546</v>
      </c>
      <c r="AB207" s="130">
        <f t="shared" si="80"/>
        <v>3070</v>
      </c>
      <c r="AC207" s="132">
        <v>486</v>
      </c>
      <c r="AD207" s="132">
        <v>738</v>
      </c>
      <c r="AE207" s="130">
        <f t="shared" si="74"/>
        <v>1224</v>
      </c>
      <c r="AF207" s="130">
        <v>1228</v>
      </c>
      <c r="AG207" s="130">
        <v>1140</v>
      </c>
      <c r="AH207" s="130">
        <f t="shared" si="75"/>
        <v>2368</v>
      </c>
      <c r="AI207" s="129">
        <f t="shared" si="76"/>
        <v>15487</v>
      </c>
      <c r="AJ207" s="130">
        <f t="shared" si="77"/>
        <v>15384</v>
      </c>
      <c r="AK207" s="131">
        <f t="shared" si="78"/>
        <v>30871</v>
      </c>
      <c r="AL207" s="130">
        <v>15195</v>
      </c>
      <c r="AM207" s="130">
        <v>14855</v>
      </c>
      <c r="AN207" s="132">
        <f t="shared" si="79"/>
        <v>30050</v>
      </c>
    </row>
    <row r="208" spans="1:40" x14ac:dyDescent="0.3">
      <c r="A208" s="44" t="s">
        <v>199</v>
      </c>
      <c r="B208" s="132">
        <v>1002</v>
      </c>
      <c r="C208" s="132">
        <v>1104</v>
      </c>
      <c r="D208" s="132">
        <f t="shared" si="66"/>
        <v>2106</v>
      </c>
      <c r="E208" s="130">
        <v>1403</v>
      </c>
      <c r="F208" s="130">
        <v>1378</v>
      </c>
      <c r="G208" s="132">
        <f t="shared" si="67"/>
        <v>2781</v>
      </c>
      <c r="H208" s="130">
        <v>1031</v>
      </c>
      <c r="I208" s="130">
        <v>823</v>
      </c>
      <c r="J208" s="132">
        <f t="shared" si="68"/>
        <v>1854</v>
      </c>
      <c r="K208" s="132">
        <v>2674</v>
      </c>
      <c r="L208" s="132">
        <v>2843</v>
      </c>
      <c r="M208" s="132">
        <f t="shared" si="69"/>
        <v>5517</v>
      </c>
      <c r="N208" s="130">
        <v>1120</v>
      </c>
      <c r="O208" s="130">
        <v>1316</v>
      </c>
      <c r="P208" s="132">
        <f t="shared" si="70"/>
        <v>2436</v>
      </c>
      <c r="Q208" s="130">
        <v>1176</v>
      </c>
      <c r="R208" s="130">
        <v>1208</v>
      </c>
      <c r="S208" s="132">
        <f t="shared" si="71"/>
        <v>2384</v>
      </c>
      <c r="T208" s="132">
        <v>1428</v>
      </c>
      <c r="U208" s="132">
        <v>1437</v>
      </c>
      <c r="V208" s="130">
        <f t="shared" si="72"/>
        <v>2865</v>
      </c>
      <c r="W208" s="130">
        <v>1387</v>
      </c>
      <c r="X208" s="130">
        <v>1168</v>
      </c>
      <c r="Y208" s="130">
        <f t="shared" si="73"/>
        <v>2555</v>
      </c>
      <c r="Z208" s="130">
        <v>1933</v>
      </c>
      <c r="AA208" s="130">
        <v>1576</v>
      </c>
      <c r="AB208" s="130">
        <f t="shared" si="80"/>
        <v>3509</v>
      </c>
      <c r="AC208" s="132">
        <v>697</v>
      </c>
      <c r="AD208" s="132">
        <v>666</v>
      </c>
      <c r="AE208" s="130">
        <f t="shared" si="74"/>
        <v>1363</v>
      </c>
      <c r="AF208" s="130">
        <v>1575</v>
      </c>
      <c r="AG208" s="130">
        <v>1468</v>
      </c>
      <c r="AH208" s="130">
        <f t="shared" si="75"/>
        <v>3043</v>
      </c>
      <c r="AI208" s="129">
        <f t="shared" si="76"/>
        <v>15426</v>
      </c>
      <c r="AJ208" s="130">
        <f t="shared" si="77"/>
        <v>14987</v>
      </c>
      <c r="AK208" s="131">
        <f t="shared" si="78"/>
        <v>30413</v>
      </c>
      <c r="AL208" s="130">
        <v>15051</v>
      </c>
      <c r="AM208" s="130">
        <v>14681</v>
      </c>
      <c r="AN208" s="132">
        <f t="shared" si="79"/>
        <v>29732</v>
      </c>
    </row>
    <row r="209" spans="1:40" x14ac:dyDescent="0.3">
      <c r="A209" s="44" t="s">
        <v>200</v>
      </c>
      <c r="B209" s="132">
        <v>555</v>
      </c>
      <c r="C209" s="132">
        <v>418</v>
      </c>
      <c r="D209" s="132">
        <f t="shared" si="66"/>
        <v>973</v>
      </c>
      <c r="E209" s="130">
        <v>398</v>
      </c>
      <c r="F209" s="130">
        <v>416</v>
      </c>
      <c r="G209" s="132">
        <f t="shared" si="67"/>
        <v>814</v>
      </c>
      <c r="H209" s="130">
        <v>430</v>
      </c>
      <c r="I209" s="130">
        <v>429</v>
      </c>
      <c r="J209" s="132">
        <f t="shared" si="68"/>
        <v>859</v>
      </c>
      <c r="K209" s="132">
        <v>679</v>
      </c>
      <c r="L209" s="132">
        <v>1022</v>
      </c>
      <c r="M209" s="132">
        <f t="shared" si="69"/>
        <v>1701</v>
      </c>
      <c r="N209" s="130">
        <v>479</v>
      </c>
      <c r="O209" s="130">
        <v>632</v>
      </c>
      <c r="P209" s="132">
        <f t="shared" si="70"/>
        <v>1111</v>
      </c>
      <c r="Q209" s="130">
        <v>459</v>
      </c>
      <c r="R209" s="130">
        <v>573</v>
      </c>
      <c r="S209" s="132">
        <f t="shared" si="71"/>
        <v>1032</v>
      </c>
      <c r="T209" s="132">
        <v>599</v>
      </c>
      <c r="U209" s="132">
        <v>488</v>
      </c>
      <c r="V209" s="130">
        <f t="shared" si="72"/>
        <v>1087</v>
      </c>
      <c r="W209" s="130">
        <v>428</v>
      </c>
      <c r="X209" s="130">
        <v>525</v>
      </c>
      <c r="Y209" s="130">
        <f t="shared" si="73"/>
        <v>953</v>
      </c>
      <c r="Z209" s="130">
        <v>580</v>
      </c>
      <c r="AA209" s="130">
        <v>718</v>
      </c>
      <c r="AB209" s="130">
        <f t="shared" si="80"/>
        <v>1298</v>
      </c>
      <c r="AC209" s="132">
        <v>232</v>
      </c>
      <c r="AD209" s="132">
        <v>162</v>
      </c>
      <c r="AE209" s="130">
        <f t="shared" si="74"/>
        <v>394</v>
      </c>
      <c r="AF209" s="130">
        <v>591</v>
      </c>
      <c r="AG209" s="130">
        <v>511</v>
      </c>
      <c r="AH209" s="130">
        <f t="shared" si="75"/>
        <v>1102</v>
      </c>
      <c r="AI209" s="129">
        <f t="shared" si="76"/>
        <v>5430</v>
      </c>
      <c r="AJ209" s="130">
        <f t="shared" si="77"/>
        <v>5894</v>
      </c>
      <c r="AK209" s="131">
        <f t="shared" si="78"/>
        <v>11324</v>
      </c>
      <c r="AL209" s="130">
        <v>5350</v>
      </c>
      <c r="AM209" s="130">
        <v>5738</v>
      </c>
      <c r="AN209" s="132">
        <f t="shared" si="79"/>
        <v>11088</v>
      </c>
    </row>
    <row r="210" spans="1:40" x14ac:dyDescent="0.3">
      <c r="A210" s="44" t="s">
        <v>201</v>
      </c>
      <c r="B210" s="132">
        <v>878</v>
      </c>
      <c r="C210" s="132">
        <v>776</v>
      </c>
      <c r="D210" s="132">
        <f t="shared" si="66"/>
        <v>1654</v>
      </c>
      <c r="E210" s="130">
        <v>850</v>
      </c>
      <c r="F210" s="130">
        <v>513</v>
      </c>
      <c r="G210" s="132">
        <f t="shared" si="67"/>
        <v>1363</v>
      </c>
      <c r="H210" s="130">
        <v>523</v>
      </c>
      <c r="I210" s="130">
        <v>550</v>
      </c>
      <c r="J210" s="132">
        <f t="shared" si="68"/>
        <v>1073</v>
      </c>
      <c r="K210" s="132">
        <v>1405</v>
      </c>
      <c r="L210" s="132">
        <v>1789</v>
      </c>
      <c r="M210" s="132">
        <f t="shared" si="69"/>
        <v>3194</v>
      </c>
      <c r="N210" s="130">
        <v>561</v>
      </c>
      <c r="O210" s="130">
        <v>603</v>
      </c>
      <c r="P210" s="132">
        <f t="shared" si="70"/>
        <v>1164</v>
      </c>
      <c r="Q210" s="130">
        <v>601</v>
      </c>
      <c r="R210" s="130">
        <v>597</v>
      </c>
      <c r="S210" s="132">
        <f t="shared" si="71"/>
        <v>1198</v>
      </c>
      <c r="T210" s="132">
        <v>714</v>
      </c>
      <c r="U210" s="132">
        <v>745</v>
      </c>
      <c r="V210" s="130">
        <f t="shared" si="72"/>
        <v>1459</v>
      </c>
      <c r="W210" s="130">
        <v>763</v>
      </c>
      <c r="X210" s="130">
        <v>777</v>
      </c>
      <c r="Y210" s="130">
        <f t="shared" si="73"/>
        <v>1540</v>
      </c>
      <c r="Z210" s="130">
        <v>745</v>
      </c>
      <c r="AA210" s="130">
        <v>561</v>
      </c>
      <c r="AB210" s="130">
        <f t="shared" si="80"/>
        <v>1306</v>
      </c>
      <c r="AC210" s="132">
        <v>337</v>
      </c>
      <c r="AD210" s="132">
        <v>299</v>
      </c>
      <c r="AE210" s="130">
        <f t="shared" si="74"/>
        <v>636</v>
      </c>
      <c r="AF210" s="130">
        <v>813</v>
      </c>
      <c r="AG210" s="130">
        <v>701</v>
      </c>
      <c r="AH210" s="130">
        <f t="shared" si="75"/>
        <v>1514</v>
      </c>
      <c r="AI210" s="129">
        <f t="shared" si="76"/>
        <v>8190</v>
      </c>
      <c r="AJ210" s="130">
        <f t="shared" si="77"/>
        <v>7911</v>
      </c>
      <c r="AK210" s="131">
        <f t="shared" si="78"/>
        <v>16101</v>
      </c>
      <c r="AL210" s="130">
        <v>8056</v>
      </c>
      <c r="AM210" s="130">
        <v>7849</v>
      </c>
      <c r="AN210" s="132">
        <f t="shared" si="79"/>
        <v>15905</v>
      </c>
    </row>
    <row r="211" spans="1:40" x14ac:dyDescent="0.3">
      <c r="A211" s="44" t="s">
        <v>202</v>
      </c>
      <c r="B211" s="132">
        <v>323</v>
      </c>
      <c r="C211" s="132">
        <v>459</v>
      </c>
      <c r="D211" s="132">
        <f t="shared" si="66"/>
        <v>782</v>
      </c>
      <c r="E211" s="130">
        <v>323</v>
      </c>
      <c r="F211" s="130">
        <v>499</v>
      </c>
      <c r="G211" s="132">
        <f t="shared" si="67"/>
        <v>822</v>
      </c>
      <c r="H211" s="130">
        <v>210</v>
      </c>
      <c r="I211" s="130">
        <v>417</v>
      </c>
      <c r="J211" s="132">
        <f t="shared" si="68"/>
        <v>627</v>
      </c>
      <c r="K211" s="132">
        <v>528</v>
      </c>
      <c r="L211" s="132">
        <v>666</v>
      </c>
      <c r="M211" s="132">
        <f t="shared" si="69"/>
        <v>1194</v>
      </c>
      <c r="N211" s="130">
        <v>275</v>
      </c>
      <c r="O211" s="130">
        <v>434</v>
      </c>
      <c r="P211" s="132">
        <f t="shared" si="70"/>
        <v>709</v>
      </c>
      <c r="Q211" s="130">
        <v>353</v>
      </c>
      <c r="R211" s="130">
        <v>313</v>
      </c>
      <c r="S211" s="132">
        <f t="shared" si="71"/>
        <v>666</v>
      </c>
      <c r="T211" s="132">
        <v>530</v>
      </c>
      <c r="U211" s="132">
        <v>559</v>
      </c>
      <c r="V211" s="130">
        <f t="shared" si="72"/>
        <v>1089</v>
      </c>
      <c r="W211" s="130">
        <v>438</v>
      </c>
      <c r="X211" s="130">
        <v>290</v>
      </c>
      <c r="Y211" s="130">
        <f t="shared" si="73"/>
        <v>728</v>
      </c>
      <c r="Z211" s="130">
        <v>420</v>
      </c>
      <c r="AA211" s="130">
        <v>544</v>
      </c>
      <c r="AB211" s="130">
        <f t="shared" si="80"/>
        <v>964</v>
      </c>
      <c r="AC211" s="132">
        <v>252</v>
      </c>
      <c r="AD211" s="132">
        <v>143</v>
      </c>
      <c r="AE211" s="130">
        <f t="shared" si="74"/>
        <v>395</v>
      </c>
      <c r="AF211" s="130">
        <v>477</v>
      </c>
      <c r="AG211" s="130">
        <v>383</v>
      </c>
      <c r="AH211" s="130">
        <f t="shared" si="75"/>
        <v>860</v>
      </c>
      <c r="AI211" s="129">
        <f t="shared" si="76"/>
        <v>4129</v>
      </c>
      <c r="AJ211" s="130">
        <f t="shared" si="77"/>
        <v>4707</v>
      </c>
      <c r="AK211" s="131">
        <f t="shared" si="78"/>
        <v>8836</v>
      </c>
      <c r="AL211" s="130">
        <v>4052</v>
      </c>
      <c r="AM211" s="130">
        <v>4644</v>
      </c>
      <c r="AN211" s="132">
        <f t="shared" si="79"/>
        <v>8696</v>
      </c>
    </row>
    <row r="212" spans="1:40" x14ac:dyDescent="0.3">
      <c r="A212" s="44" t="s">
        <v>203</v>
      </c>
      <c r="B212" s="132">
        <v>339</v>
      </c>
      <c r="C212" s="132">
        <v>508</v>
      </c>
      <c r="D212" s="132">
        <f t="shared" si="66"/>
        <v>847</v>
      </c>
      <c r="E212" s="130">
        <v>637</v>
      </c>
      <c r="F212" s="130">
        <v>649</v>
      </c>
      <c r="G212" s="132">
        <f t="shared" si="67"/>
        <v>1286</v>
      </c>
      <c r="H212" s="130">
        <v>397</v>
      </c>
      <c r="I212" s="130">
        <v>515</v>
      </c>
      <c r="J212" s="132">
        <f t="shared" si="68"/>
        <v>912</v>
      </c>
      <c r="K212" s="132">
        <v>1060</v>
      </c>
      <c r="L212" s="132">
        <v>1360</v>
      </c>
      <c r="M212" s="132">
        <f t="shared" si="69"/>
        <v>2420</v>
      </c>
      <c r="N212" s="130">
        <v>344</v>
      </c>
      <c r="O212" s="130">
        <v>469</v>
      </c>
      <c r="P212" s="132">
        <f t="shared" si="70"/>
        <v>813</v>
      </c>
      <c r="Q212" s="130">
        <v>540</v>
      </c>
      <c r="R212" s="130">
        <v>619</v>
      </c>
      <c r="S212" s="132">
        <f t="shared" si="71"/>
        <v>1159</v>
      </c>
      <c r="T212" s="132">
        <v>418</v>
      </c>
      <c r="U212" s="132">
        <v>837</v>
      </c>
      <c r="V212" s="130">
        <f t="shared" si="72"/>
        <v>1255</v>
      </c>
      <c r="W212" s="130">
        <v>307</v>
      </c>
      <c r="X212" s="130">
        <v>389</v>
      </c>
      <c r="Y212" s="130">
        <f t="shared" si="73"/>
        <v>696</v>
      </c>
      <c r="Z212" s="130">
        <v>487</v>
      </c>
      <c r="AA212" s="130">
        <v>632</v>
      </c>
      <c r="AB212" s="130">
        <f t="shared" si="80"/>
        <v>1119</v>
      </c>
      <c r="AC212" s="132">
        <v>205</v>
      </c>
      <c r="AD212" s="132">
        <v>314</v>
      </c>
      <c r="AE212" s="130">
        <f t="shared" si="74"/>
        <v>519</v>
      </c>
      <c r="AF212" s="130">
        <v>444</v>
      </c>
      <c r="AG212" s="130">
        <v>509</v>
      </c>
      <c r="AH212" s="130">
        <f t="shared" si="75"/>
        <v>953</v>
      </c>
      <c r="AI212" s="129">
        <f t="shared" si="76"/>
        <v>5178</v>
      </c>
      <c r="AJ212" s="130">
        <f t="shared" si="77"/>
        <v>6801</v>
      </c>
      <c r="AK212" s="131">
        <f t="shared" si="78"/>
        <v>11979</v>
      </c>
      <c r="AL212" s="130">
        <v>5126</v>
      </c>
      <c r="AM212" s="130">
        <v>6585</v>
      </c>
      <c r="AN212" s="132">
        <f t="shared" si="79"/>
        <v>11711</v>
      </c>
    </row>
    <row r="213" spans="1:40" x14ac:dyDescent="0.3">
      <c r="A213" s="44" t="s">
        <v>204</v>
      </c>
      <c r="B213" s="132">
        <v>421</v>
      </c>
      <c r="C213" s="132">
        <v>504</v>
      </c>
      <c r="D213" s="132">
        <f t="shared" si="66"/>
        <v>925</v>
      </c>
      <c r="E213" s="130">
        <v>903</v>
      </c>
      <c r="F213" s="130">
        <v>1023</v>
      </c>
      <c r="G213" s="132">
        <f t="shared" si="67"/>
        <v>1926</v>
      </c>
      <c r="H213" s="130">
        <v>480</v>
      </c>
      <c r="I213" s="130">
        <v>387</v>
      </c>
      <c r="J213" s="132">
        <f t="shared" si="68"/>
        <v>867</v>
      </c>
      <c r="K213" s="132">
        <v>1172</v>
      </c>
      <c r="L213" s="132">
        <v>1557</v>
      </c>
      <c r="M213" s="132">
        <f t="shared" si="69"/>
        <v>2729</v>
      </c>
      <c r="N213" s="130">
        <v>625</v>
      </c>
      <c r="O213" s="130">
        <v>647</v>
      </c>
      <c r="P213" s="132">
        <f t="shared" si="70"/>
        <v>1272</v>
      </c>
      <c r="Q213" s="130">
        <v>695</v>
      </c>
      <c r="R213" s="130">
        <v>829</v>
      </c>
      <c r="S213" s="132">
        <f t="shared" si="71"/>
        <v>1524</v>
      </c>
      <c r="T213" s="132">
        <v>1063</v>
      </c>
      <c r="U213" s="132">
        <v>993</v>
      </c>
      <c r="V213" s="130">
        <f t="shared" si="72"/>
        <v>2056</v>
      </c>
      <c r="W213" s="130">
        <v>705</v>
      </c>
      <c r="X213" s="130">
        <v>771</v>
      </c>
      <c r="Y213" s="130">
        <f t="shared" si="73"/>
        <v>1476</v>
      </c>
      <c r="Z213" s="130">
        <v>494</v>
      </c>
      <c r="AA213" s="130">
        <v>701</v>
      </c>
      <c r="AB213" s="130">
        <f t="shared" si="80"/>
        <v>1195</v>
      </c>
      <c r="AC213" s="132">
        <v>386</v>
      </c>
      <c r="AD213" s="132">
        <v>322</v>
      </c>
      <c r="AE213" s="130">
        <f t="shared" si="74"/>
        <v>708</v>
      </c>
      <c r="AF213" s="130">
        <v>543</v>
      </c>
      <c r="AG213" s="130">
        <v>949</v>
      </c>
      <c r="AH213" s="130">
        <f t="shared" si="75"/>
        <v>1492</v>
      </c>
      <c r="AI213" s="129">
        <f t="shared" si="76"/>
        <v>7487</v>
      </c>
      <c r="AJ213" s="130">
        <f t="shared" si="77"/>
        <v>8683</v>
      </c>
      <c r="AK213" s="131">
        <f t="shared" si="78"/>
        <v>16170</v>
      </c>
      <c r="AL213" s="130">
        <v>7412</v>
      </c>
      <c r="AM213" s="130">
        <v>8437</v>
      </c>
      <c r="AN213" s="132">
        <f t="shared" si="79"/>
        <v>15849</v>
      </c>
    </row>
    <row r="214" spans="1:40" x14ac:dyDescent="0.3">
      <c r="A214" s="44" t="s">
        <v>205</v>
      </c>
      <c r="B214" s="132">
        <v>106</v>
      </c>
      <c r="C214" s="132">
        <v>543</v>
      </c>
      <c r="D214" s="132">
        <f t="shared" si="66"/>
        <v>649</v>
      </c>
      <c r="E214" s="130">
        <v>776</v>
      </c>
      <c r="F214" s="130">
        <v>752</v>
      </c>
      <c r="G214" s="132">
        <f t="shared" si="67"/>
        <v>1528</v>
      </c>
      <c r="H214" s="130">
        <v>163</v>
      </c>
      <c r="I214" s="130">
        <v>249</v>
      </c>
      <c r="J214" s="132">
        <f t="shared" si="68"/>
        <v>412</v>
      </c>
      <c r="K214" s="132">
        <v>563</v>
      </c>
      <c r="L214" s="132">
        <v>795</v>
      </c>
      <c r="M214" s="132">
        <f t="shared" si="69"/>
        <v>1358</v>
      </c>
      <c r="N214" s="130">
        <v>351</v>
      </c>
      <c r="O214" s="130">
        <v>398</v>
      </c>
      <c r="P214" s="132">
        <f t="shared" si="70"/>
        <v>749</v>
      </c>
      <c r="Q214" s="130">
        <v>407</v>
      </c>
      <c r="R214" s="130">
        <v>352</v>
      </c>
      <c r="S214" s="132">
        <f t="shared" si="71"/>
        <v>759</v>
      </c>
      <c r="T214" s="132">
        <v>481</v>
      </c>
      <c r="U214" s="132">
        <v>858</v>
      </c>
      <c r="V214" s="130">
        <f t="shared" si="72"/>
        <v>1339</v>
      </c>
      <c r="W214" s="130">
        <v>331</v>
      </c>
      <c r="X214" s="130">
        <v>439</v>
      </c>
      <c r="Y214" s="130">
        <f t="shared" si="73"/>
        <v>770</v>
      </c>
      <c r="Z214" s="130">
        <v>237</v>
      </c>
      <c r="AA214" s="130">
        <v>407</v>
      </c>
      <c r="AB214" s="130">
        <f t="shared" si="80"/>
        <v>644</v>
      </c>
      <c r="AC214" s="132">
        <v>105</v>
      </c>
      <c r="AD214" s="132">
        <v>161</v>
      </c>
      <c r="AE214" s="130">
        <f t="shared" si="74"/>
        <v>266</v>
      </c>
      <c r="AF214" s="130">
        <v>423</v>
      </c>
      <c r="AG214" s="130">
        <v>673</v>
      </c>
      <c r="AH214" s="130">
        <f t="shared" si="75"/>
        <v>1096</v>
      </c>
      <c r="AI214" s="129">
        <f t="shared" si="76"/>
        <v>3943</v>
      </c>
      <c r="AJ214" s="130">
        <f t="shared" si="77"/>
        <v>5627</v>
      </c>
      <c r="AK214" s="131">
        <f t="shared" si="78"/>
        <v>9570</v>
      </c>
      <c r="AL214" s="130">
        <v>3874</v>
      </c>
      <c r="AM214" s="130">
        <v>5552</v>
      </c>
      <c r="AN214" s="132">
        <f t="shared" si="79"/>
        <v>9426</v>
      </c>
    </row>
    <row r="215" spans="1:40" x14ac:dyDescent="0.3">
      <c r="A215" s="44" t="s">
        <v>206</v>
      </c>
      <c r="B215" s="132">
        <v>150</v>
      </c>
      <c r="C215" s="132">
        <v>121</v>
      </c>
      <c r="D215" s="132">
        <f t="shared" si="66"/>
        <v>271</v>
      </c>
      <c r="E215" s="130">
        <v>304</v>
      </c>
      <c r="F215" s="130">
        <v>296</v>
      </c>
      <c r="G215" s="132">
        <f t="shared" si="67"/>
        <v>600</v>
      </c>
      <c r="H215" s="130">
        <v>129</v>
      </c>
      <c r="I215" s="130">
        <v>163</v>
      </c>
      <c r="J215" s="132">
        <f t="shared" si="68"/>
        <v>292</v>
      </c>
      <c r="K215" s="132">
        <v>354</v>
      </c>
      <c r="L215" s="132">
        <v>532</v>
      </c>
      <c r="M215" s="132">
        <f t="shared" si="69"/>
        <v>886</v>
      </c>
      <c r="N215" s="130">
        <v>100</v>
      </c>
      <c r="O215" s="130">
        <v>219</v>
      </c>
      <c r="P215" s="132">
        <f t="shared" si="70"/>
        <v>319</v>
      </c>
      <c r="Q215" s="130">
        <v>119</v>
      </c>
      <c r="R215" s="130">
        <v>300</v>
      </c>
      <c r="S215" s="132">
        <f t="shared" si="71"/>
        <v>419</v>
      </c>
      <c r="T215" s="132">
        <v>331</v>
      </c>
      <c r="U215" s="132">
        <v>301</v>
      </c>
      <c r="V215" s="130">
        <f t="shared" si="72"/>
        <v>632</v>
      </c>
      <c r="W215" s="130">
        <v>137</v>
      </c>
      <c r="X215" s="130">
        <v>308</v>
      </c>
      <c r="Y215" s="130">
        <f t="shared" si="73"/>
        <v>445</v>
      </c>
      <c r="Z215" s="130">
        <v>168</v>
      </c>
      <c r="AA215" s="130">
        <v>242</v>
      </c>
      <c r="AB215" s="130">
        <f t="shared" si="80"/>
        <v>410</v>
      </c>
      <c r="AC215" s="132">
        <v>71</v>
      </c>
      <c r="AD215" s="132">
        <v>188</v>
      </c>
      <c r="AE215" s="130">
        <f t="shared" si="74"/>
        <v>259</v>
      </c>
      <c r="AF215" s="130">
        <v>286</v>
      </c>
      <c r="AG215" s="130">
        <v>387</v>
      </c>
      <c r="AH215" s="130">
        <f t="shared" si="75"/>
        <v>673</v>
      </c>
      <c r="AI215" s="129">
        <f t="shared" si="76"/>
        <v>2149</v>
      </c>
      <c r="AJ215" s="130">
        <f t="shared" si="77"/>
        <v>3057</v>
      </c>
      <c r="AK215" s="131">
        <f t="shared" si="78"/>
        <v>5206</v>
      </c>
      <c r="AL215" s="130">
        <v>2128</v>
      </c>
      <c r="AM215" s="130">
        <v>2950</v>
      </c>
      <c r="AN215" s="132">
        <f t="shared" si="79"/>
        <v>5078</v>
      </c>
    </row>
    <row r="216" spans="1:40" x14ac:dyDescent="0.3">
      <c r="A216" s="44" t="s">
        <v>207</v>
      </c>
      <c r="B216" s="132">
        <v>66</v>
      </c>
      <c r="C216" s="132">
        <v>132</v>
      </c>
      <c r="D216" s="132">
        <f t="shared" si="66"/>
        <v>198</v>
      </c>
      <c r="E216" s="130">
        <v>162</v>
      </c>
      <c r="F216" s="130">
        <v>362</v>
      </c>
      <c r="G216" s="132">
        <f t="shared" si="67"/>
        <v>524</v>
      </c>
      <c r="H216" s="130">
        <v>62</v>
      </c>
      <c r="I216" s="130">
        <v>235</v>
      </c>
      <c r="J216" s="132">
        <f t="shared" si="68"/>
        <v>297</v>
      </c>
      <c r="K216" s="132">
        <v>366</v>
      </c>
      <c r="L216" s="132">
        <v>462</v>
      </c>
      <c r="M216" s="132">
        <f t="shared" si="69"/>
        <v>828</v>
      </c>
      <c r="N216" s="130">
        <v>215</v>
      </c>
      <c r="O216" s="130">
        <v>611</v>
      </c>
      <c r="P216" s="132">
        <f t="shared" si="70"/>
        <v>826</v>
      </c>
      <c r="Q216" s="130">
        <v>323</v>
      </c>
      <c r="R216" s="130">
        <v>518</v>
      </c>
      <c r="S216" s="132">
        <f t="shared" si="71"/>
        <v>841</v>
      </c>
      <c r="T216" s="132">
        <v>434</v>
      </c>
      <c r="U216" s="132">
        <v>746</v>
      </c>
      <c r="V216" s="130">
        <f t="shared" si="72"/>
        <v>1180</v>
      </c>
      <c r="W216" s="130">
        <v>161</v>
      </c>
      <c r="X216" s="130">
        <v>505</v>
      </c>
      <c r="Y216" s="130">
        <f t="shared" si="73"/>
        <v>666</v>
      </c>
      <c r="Z216" s="130">
        <v>155</v>
      </c>
      <c r="AA216" s="130">
        <v>412</v>
      </c>
      <c r="AB216" s="130">
        <f t="shared" si="80"/>
        <v>567</v>
      </c>
      <c r="AC216" s="132">
        <v>200</v>
      </c>
      <c r="AD216" s="132">
        <v>230</v>
      </c>
      <c r="AE216" s="130">
        <f t="shared" si="74"/>
        <v>430</v>
      </c>
      <c r="AF216" s="130">
        <v>425</v>
      </c>
      <c r="AG216" s="130">
        <v>572</v>
      </c>
      <c r="AH216" s="130">
        <f t="shared" si="75"/>
        <v>997</v>
      </c>
      <c r="AI216" s="129">
        <f t="shared" si="76"/>
        <v>2569</v>
      </c>
      <c r="AJ216" s="130">
        <f t="shared" si="77"/>
        <v>4785</v>
      </c>
      <c r="AK216" s="133">
        <f t="shared" si="78"/>
        <v>7354</v>
      </c>
      <c r="AL216" s="130">
        <v>2472</v>
      </c>
      <c r="AM216" s="130">
        <v>4615</v>
      </c>
      <c r="AN216" s="132">
        <f t="shared" si="79"/>
        <v>7087</v>
      </c>
    </row>
    <row r="217" spans="1:40" x14ac:dyDescent="0.3">
      <c r="AI217" s="124">
        <f>SUM(AI194:AI216)</f>
        <v>233753</v>
      </c>
      <c r="AJ217" s="125">
        <f t="shared" ref="AJ217:AK217" si="81">SUM(AJ194:AJ216)</f>
        <v>238706</v>
      </c>
      <c r="AK217" s="126">
        <f t="shared" si="81"/>
        <v>472459</v>
      </c>
    </row>
    <row r="218" spans="1:40" x14ac:dyDescent="0.3">
      <c r="A218" s="116" t="s">
        <v>291</v>
      </c>
      <c r="B218" s="134" t="s">
        <v>310</v>
      </c>
      <c r="C218" s="134"/>
      <c r="D218" s="135"/>
      <c r="E218" s="134"/>
      <c r="F218" s="134"/>
      <c r="G218" s="117"/>
      <c r="H218" s="115"/>
      <c r="I218" s="115"/>
      <c r="J218" s="117"/>
      <c r="K218" s="115"/>
      <c r="L218" s="115"/>
      <c r="M218" s="117"/>
      <c r="N218" s="115"/>
      <c r="O218" s="115"/>
      <c r="P218" s="117"/>
      <c r="Q218" s="115"/>
      <c r="R218" s="115"/>
      <c r="S218" s="117"/>
      <c r="T218" s="115"/>
      <c r="U218" s="115"/>
      <c r="V218" s="117"/>
      <c r="W218" s="115"/>
      <c r="X218" s="115"/>
      <c r="Y218" s="117"/>
      <c r="Z218" s="115"/>
      <c r="AA218" s="115"/>
      <c r="AB218" s="117"/>
      <c r="AC218" s="115"/>
      <c r="AD218" s="115"/>
      <c r="AE218" s="117"/>
      <c r="AF218" s="115"/>
      <c r="AG218" s="115"/>
      <c r="AH218" s="117"/>
      <c r="AI218" s="115"/>
    </row>
    <row r="219" spans="1:40" x14ac:dyDescent="0.3">
      <c r="A219" s="115"/>
      <c r="B219" s="115">
        <v>90802</v>
      </c>
      <c r="C219" s="115"/>
      <c r="D219" s="115"/>
      <c r="E219" s="115">
        <v>90803</v>
      </c>
      <c r="F219" s="115"/>
      <c r="G219" s="115"/>
      <c r="H219" s="115">
        <v>90804</v>
      </c>
      <c r="I219" s="115"/>
      <c r="J219" s="115"/>
      <c r="K219" s="115">
        <v>90805</v>
      </c>
      <c r="L219" s="115"/>
      <c r="M219" s="115"/>
      <c r="N219" s="115">
        <v>90806</v>
      </c>
      <c r="O219" s="115"/>
      <c r="P219" s="115"/>
      <c r="Q219" s="115">
        <v>90807</v>
      </c>
      <c r="R219" s="115"/>
      <c r="S219" s="115"/>
      <c r="T219" s="115">
        <v>90808</v>
      </c>
      <c r="U219" s="115"/>
      <c r="V219" s="115"/>
      <c r="W219" s="115">
        <v>90810</v>
      </c>
      <c r="X219" s="115"/>
      <c r="Y219" s="115"/>
      <c r="Z219" s="115">
        <v>90813</v>
      </c>
      <c r="AA219" s="115"/>
      <c r="AB219" s="115"/>
      <c r="AC219" s="115">
        <v>90814</v>
      </c>
      <c r="AD219" s="115"/>
      <c r="AE219" s="115"/>
      <c r="AF219" s="115">
        <v>90815</v>
      </c>
      <c r="AG219" s="115"/>
      <c r="AH219" s="115"/>
    </row>
    <row r="220" spans="1:40" x14ac:dyDescent="0.3">
      <c r="A220" s="115"/>
      <c r="B220" s="115" t="s">
        <v>81</v>
      </c>
      <c r="C220" s="115" t="s">
        <v>82</v>
      </c>
      <c r="D220" s="115" t="s">
        <v>83</v>
      </c>
      <c r="E220" s="115" t="s">
        <v>81</v>
      </c>
      <c r="F220" s="115" t="s">
        <v>82</v>
      </c>
      <c r="G220" s="115" t="s">
        <v>83</v>
      </c>
      <c r="H220" s="115" t="s">
        <v>81</v>
      </c>
      <c r="I220" s="115" t="s">
        <v>82</v>
      </c>
      <c r="J220" s="115" t="s">
        <v>83</v>
      </c>
      <c r="K220" s="115" t="s">
        <v>81</v>
      </c>
      <c r="L220" s="115" t="s">
        <v>82</v>
      </c>
      <c r="M220" s="115" t="s">
        <v>83</v>
      </c>
      <c r="N220" s="115" t="s">
        <v>81</v>
      </c>
      <c r="O220" s="115" t="s">
        <v>82</v>
      </c>
      <c r="P220" s="115" t="s">
        <v>83</v>
      </c>
      <c r="Q220" s="115" t="s">
        <v>81</v>
      </c>
      <c r="R220" s="115" t="s">
        <v>82</v>
      </c>
      <c r="S220" s="115" t="s">
        <v>83</v>
      </c>
      <c r="T220" s="115" t="s">
        <v>81</v>
      </c>
      <c r="U220" s="115" t="s">
        <v>82</v>
      </c>
      <c r="V220" s="115" t="s">
        <v>83</v>
      </c>
      <c r="W220" s="115" t="s">
        <v>81</v>
      </c>
      <c r="X220" s="115" t="s">
        <v>82</v>
      </c>
      <c r="Y220" s="115" t="s">
        <v>83</v>
      </c>
      <c r="Z220" s="115" t="s">
        <v>81</v>
      </c>
      <c r="AA220" s="115" t="s">
        <v>82</v>
      </c>
      <c r="AB220" s="115" t="s">
        <v>83</v>
      </c>
      <c r="AC220" s="115" t="s">
        <v>81</v>
      </c>
      <c r="AD220" s="115" t="s">
        <v>82</v>
      </c>
      <c r="AE220" s="115" t="s">
        <v>83</v>
      </c>
      <c r="AF220" s="115" t="s">
        <v>81</v>
      </c>
      <c r="AG220" s="115" t="s">
        <v>304</v>
      </c>
      <c r="AH220" s="115" t="s">
        <v>83</v>
      </c>
      <c r="AJ220" s="115"/>
    </row>
    <row r="221" spans="1:40" x14ac:dyDescent="0.3">
      <c r="A221" s="44" t="s">
        <v>83</v>
      </c>
      <c r="B221" s="40">
        <v>21079</v>
      </c>
      <c r="C221" s="40">
        <v>18780</v>
      </c>
      <c r="D221" s="114">
        <f>SUM(B221:C221)</f>
        <v>39859</v>
      </c>
      <c r="E221" s="40">
        <v>16470</v>
      </c>
      <c r="F221" s="40">
        <v>15334</v>
      </c>
      <c r="G221" s="114">
        <f>SUM(E221:F221)</f>
        <v>31804</v>
      </c>
      <c r="H221" s="40">
        <v>19046</v>
      </c>
      <c r="I221" s="40">
        <v>19260</v>
      </c>
      <c r="J221" s="114">
        <f>SUM(H221:I221)</f>
        <v>38306</v>
      </c>
      <c r="K221" s="90">
        <v>44624</v>
      </c>
      <c r="L221" s="90">
        <v>50007</v>
      </c>
      <c r="M221" s="114">
        <f>SUM(K221:L221)</f>
        <v>94631</v>
      </c>
      <c r="N221" s="90">
        <v>20665</v>
      </c>
      <c r="O221" s="90">
        <v>19307</v>
      </c>
      <c r="P221" s="114">
        <f>SUM(N221:O221)</f>
        <v>39972</v>
      </c>
      <c r="Q221" s="90">
        <v>16024</v>
      </c>
      <c r="R221" s="90">
        <v>17296</v>
      </c>
      <c r="S221" s="114">
        <f>SUM(Q221:R221)</f>
        <v>33320</v>
      </c>
      <c r="T221" s="90">
        <v>19665</v>
      </c>
      <c r="U221" s="90">
        <v>19686</v>
      </c>
      <c r="V221" s="114">
        <f>SUM(T221:U221)</f>
        <v>39351</v>
      </c>
      <c r="W221" s="90">
        <v>17848</v>
      </c>
      <c r="X221" s="90">
        <v>17800</v>
      </c>
      <c r="Y221" s="114">
        <f>SUM(W221:X221)</f>
        <v>35648</v>
      </c>
      <c r="Z221" s="40">
        <v>25825</v>
      </c>
      <c r="AA221" s="40">
        <v>25864</v>
      </c>
      <c r="AB221" s="114">
        <f>SUM(Z221:AA221)</f>
        <v>51689</v>
      </c>
      <c r="AC221" s="90">
        <v>9992</v>
      </c>
      <c r="AD221" s="90">
        <v>10684</v>
      </c>
      <c r="AE221" s="114">
        <f>SUM(AC221:AD221)</f>
        <v>20676</v>
      </c>
      <c r="AF221" s="90">
        <v>20956</v>
      </c>
      <c r="AG221" s="90">
        <v>22505</v>
      </c>
      <c r="AH221" s="114">
        <f>SUM(AF221:AG221)</f>
        <v>43461</v>
      </c>
      <c r="AJ221" s="40"/>
    </row>
    <row r="222" spans="1:40" x14ac:dyDescent="0.3">
      <c r="A222" s="155" t="s">
        <v>185</v>
      </c>
      <c r="B222">
        <v>637</v>
      </c>
      <c r="C222">
        <v>704</v>
      </c>
      <c r="D222" s="114">
        <f>SUM(B222:C222)</f>
        <v>1341</v>
      </c>
      <c r="E222">
        <v>640</v>
      </c>
      <c r="F222">
        <v>473</v>
      </c>
      <c r="G222" s="114">
        <f t="shared" ref="G222:G244" si="82">SUM(E222:F222)</f>
        <v>1113</v>
      </c>
      <c r="H222" s="40">
        <v>1124</v>
      </c>
      <c r="I222" s="40">
        <v>1099</v>
      </c>
      <c r="J222" s="114">
        <f t="shared" ref="J222:J244" si="83">SUM(H222:I222)</f>
        <v>2223</v>
      </c>
      <c r="K222" s="90">
        <v>2826</v>
      </c>
      <c r="L222" s="90">
        <v>3008</v>
      </c>
      <c r="M222" s="114">
        <f t="shared" ref="M222:M244" si="84">SUM(K222:L222)</f>
        <v>5834</v>
      </c>
      <c r="N222" s="90">
        <v>1384</v>
      </c>
      <c r="O222" s="148">
        <v>885</v>
      </c>
      <c r="P222" s="114">
        <f t="shared" ref="P222:P244" si="85">SUM(N222:O222)</f>
        <v>2269</v>
      </c>
      <c r="Q222" s="148">
        <v>811</v>
      </c>
      <c r="R222" s="148">
        <v>746</v>
      </c>
      <c r="S222" s="114">
        <f t="shared" ref="S222:S244" si="86">SUM(Q222:R222)</f>
        <v>1557</v>
      </c>
      <c r="T222" s="90">
        <v>1127</v>
      </c>
      <c r="U222" s="90">
        <v>1300</v>
      </c>
      <c r="V222" s="114">
        <f t="shared" ref="V222:V244" si="87">SUM(T222:U222)</f>
        <v>2427</v>
      </c>
      <c r="W222" s="148">
        <v>857</v>
      </c>
      <c r="X222" s="148">
        <v>777</v>
      </c>
      <c r="Y222" s="114">
        <f t="shared" ref="Y222:Y244" si="88">SUM(W222:X222)</f>
        <v>1634</v>
      </c>
      <c r="Z222" s="40">
        <v>1347</v>
      </c>
      <c r="AA222" s="40">
        <v>1507</v>
      </c>
      <c r="AB222" s="114">
        <f t="shared" ref="AB222:AB244" si="89">SUM(Z222:AA222)</f>
        <v>2854</v>
      </c>
      <c r="AC222" s="148">
        <v>504</v>
      </c>
      <c r="AD222" s="148">
        <v>629</v>
      </c>
      <c r="AE222" s="114">
        <f t="shared" ref="AE222:AE244" si="90">SUM(AC222:AD222)</f>
        <v>1133</v>
      </c>
      <c r="AF222" s="90">
        <v>1282</v>
      </c>
      <c r="AG222" s="90">
        <v>1008</v>
      </c>
      <c r="AH222" s="114">
        <f t="shared" ref="AH222:AH244" si="91">SUM(AF222:AG222)</f>
        <v>2290</v>
      </c>
      <c r="AJ222" s="40"/>
    </row>
    <row r="223" spans="1:40" x14ac:dyDescent="0.3">
      <c r="A223" s="155" t="s">
        <v>186</v>
      </c>
      <c r="B223">
        <v>564</v>
      </c>
      <c r="C223">
        <v>476</v>
      </c>
      <c r="D223" s="114">
        <f t="shared" ref="D223:D244" si="92">SUM(B223:C223)</f>
        <v>1040</v>
      </c>
      <c r="E223">
        <v>214</v>
      </c>
      <c r="F223">
        <v>351</v>
      </c>
      <c r="G223" s="114">
        <f t="shared" si="82"/>
        <v>565</v>
      </c>
      <c r="H223">
        <v>996</v>
      </c>
      <c r="I223">
        <v>759</v>
      </c>
      <c r="J223" s="114">
        <f t="shared" si="83"/>
        <v>1755</v>
      </c>
      <c r="K223" s="90">
        <v>3323</v>
      </c>
      <c r="L223" s="90">
        <v>3021</v>
      </c>
      <c r="M223" s="114">
        <f t="shared" si="84"/>
        <v>6344</v>
      </c>
      <c r="N223" s="90">
        <v>1378</v>
      </c>
      <c r="O223" s="148">
        <v>782</v>
      </c>
      <c r="P223" s="114">
        <f t="shared" si="85"/>
        <v>2160</v>
      </c>
      <c r="Q223" s="148">
        <v>840</v>
      </c>
      <c r="R223" s="90">
        <v>1021</v>
      </c>
      <c r="S223" s="114">
        <f t="shared" si="86"/>
        <v>1861</v>
      </c>
      <c r="T223" s="90">
        <v>1425</v>
      </c>
      <c r="U223" s="90">
        <v>1078</v>
      </c>
      <c r="V223" s="114">
        <f t="shared" si="87"/>
        <v>2503</v>
      </c>
      <c r="W223" s="148">
        <v>933</v>
      </c>
      <c r="X223" s="90">
        <v>1287</v>
      </c>
      <c r="Y223" s="114">
        <f t="shared" si="88"/>
        <v>2220</v>
      </c>
      <c r="Z223" s="40">
        <v>1707</v>
      </c>
      <c r="AA223" s="40">
        <v>1766</v>
      </c>
      <c r="AB223" s="114">
        <f t="shared" si="89"/>
        <v>3473</v>
      </c>
      <c r="AC223" s="148">
        <v>385</v>
      </c>
      <c r="AD223" s="148">
        <v>594</v>
      </c>
      <c r="AE223" s="114">
        <f t="shared" si="90"/>
        <v>979</v>
      </c>
      <c r="AF223" s="90">
        <v>1042</v>
      </c>
      <c r="AG223" s="148">
        <v>750</v>
      </c>
      <c r="AH223" s="114">
        <f t="shared" si="91"/>
        <v>1792</v>
      </c>
      <c r="AJ223" s="40"/>
    </row>
    <row r="224" spans="1:40" x14ac:dyDescent="0.3">
      <c r="A224" s="155" t="s">
        <v>187</v>
      </c>
      <c r="B224">
        <v>876</v>
      </c>
      <c r="C224">
        <v>530</v>
      </c>
      <c r="D224" s="114">
        <f t="shared" si="92"/>
        <v>1406</v>
      </c>
      <c r="E224">
        <v>441</v>
      </c>
      <c r="F224">
        <v>374</v>
      </c>
      <c r="G224" s="114">
        <f t="shared" si="82"/>
        <v>815</v>
      </c>
      <c r="H224" s="40">
        <v>1146</v>
      </c>
      <c r="I224">
        <v>806</v>
      </c>
      <c r="J224" s="114">
        <f t="shared" si="83"/>
        <v>1952</v>
      </c>
      <c r="K224" s="90">
        <v>3807</v>
      </c>
      <c r="L224" s="90">
        <v>3148</v>
      </c>
      <c r="M224" s="114">
        <f t="shared" si="84"/>
        <v>6955</v>
      </c>
      <c r="N224" s="90">
        <v>1415</v>
      </c>
      <c r="O224" s="90">
        <v>1405</v>
      </c>
      <c r="P224" s="114">
        <f t="shared" si="85"/>
        <v>2820</v>
      </c>
      <c r="Q224" s="90">
        <v>1108</v>
      </c>
      <c r="R224" s="148">
        <v>995</v>
      </c>
      <c r="S224" s="114">
        <f t="shared" si="86"/>
        <v>2103</v>
      </c>
      <c r="T224" s="90">
        <v>1532</v>
      </c>
      <c r="U224" s="148">
        <v>968</v>
      </c>
      <c r="V224" s="114">
        <f t="shared" si="87"/>
        <v>2500</v>
      </c>
      <c r="W224" s="90">
        <v>1265</v>
      </c>
      <c r="X224" s="90">
        <v>1057</v>
      </c>
      <c r="Y224" s="114">
        <f t="shared" si="88"/>
        <v>2322</v>
      </c>
      <c r="Z224" s="40">
        <v>2326</v>
      </c>
      <c r="AA224" s="40">
        <v>1617</v>
      </c>
      <c r="AB224" s="114">
        <f t="shared" si="89"/>
        <v>3943</v>
      </c>
      <c r="AC224" s="148">
        <v>441</v>
      </c>
      <c r="AD224" s="148">
        <v>398</v>
      </c>
      <c r="AE224" s="114">
        <f t="shared" si="90"/>
        <v>839</v>
      </c>
      <c r="AF224" s="90">
        <v>1217</v>
      </c>
      <c r="AG224" s="90">
        <v>1402</v>
      </c>
      <c r="AH224" s="114">
        <f t="shared" si="91"/>
        <v>2619</v>
      </c>
      <c r="AJ224" s="40"/>
    </row>
    <row r="225" spans="1:36" x14ac:dyDescent="0.3">
      <c r="A225" s="155" t="s">
        <v>188</v>
      </c>
      <c r="B225">
        <v>420</v>
      </c>
      <c r="C225">
        <v>650</v>
      </c>
      <c r="D225" s="114">
        <f t="shared" si="92"/>
        <v>1070</v>
      </c>
      <c r="E225">
        <v>616</v>
      </c>
      <c r="F225">
        <v>223</v>
      </c>
      <c r="G225" s="114">
        <f t="shared" si="82"/>
        <v>839</v>
      </c>
      <c r="H225">
        <v>444</v>
      </c>
      <c r="I225">
        <v>447</v>
      </c>
      <c r="J225" s="114">
        <f t="shared" si="83"/>
        <v>891</v>
      </c>
      <c r="K225" s="90">
        <v>2232</v>
      </c>
      <c r="L225" s="90">
        <v>2878</v>
      </c>
      <c r="M225" s="114">
        <f t="shared" si="84"/>
        <v>5110</v>
      </c>
      <c r="N225" s="148">
        <v>992</v>
      </c>
      <c r="O225" s="148">
        <v>523</v>
      </c>
      <c r="P225" s="114">
        <f t="shared" si="85"/>
        <v>1515</v>
      </c>
      <c r="Q225" s="148">
        <v>650</v>
      </c>
      <c r="R225" s="148">
        <v>548</v>
      </c>
      <c r="S225" s="114">
        <f t="shared" si="86"/>
        <v>1198</v>
      </c>
      <c r="T225" s="148">
        <v>536</v>
      </c>
      <c r="U225" s="148">
        <v>730</v>
      </c>
      <c r="V225" s="114">
        <f t="shared" si="87"/>
        <v>1266</v>
      </c>
      <c r="W225" s="148">
        <v>859</v>
      </c>
      <c r="X225" s="148">
        <v>768</v>
      </c>
      <c r="Y225" s="114">
        <f t="shared" si="88"/>
        <v>1627</v>
      </c>
      <c r="Z225" s="40">
        <v>1031</v>
      </c>
      <c r="AA225" s="40">
        <v>1237</v>
      </c>
      <c r="AB225" s="114">
        <f t="shared" si="89"/>
        <v>2268</v>
      </c>
      <c r="AC225" s="148">
        <v>423</v>
      </c>
      <c r="AD225" s="148">
        <v>219</v>
      </c>
      <c r="AE225" s="114">
        <f t="shared" si="90"/>
        <v>642</v>
      </c>
      <c r="AF225" s="90">
        <v>1009</v>
      </c>
      <c r="AG225" s="148">
        <v>652</v>
      </c>
      <c r="AH225" s="114">
        <f t="shared" si="91"/>
        <v>1661</v>
      </c>
      <c r="AJ225" s="40"/>
    </row>
    <row r="226" spans="1:36" x14ac:dyDescent="0.3">
      <c r="A226" s="155" t="s">
        <v>189</v>
      </c>
      <c r="B226">
        <v>381</v>
      </c>
      <c r="C226">
        <v>175</v>
      </c>
      <c r="D226" s="114">
        <f t="shared" si="92"/>
        <v>556</v>
      </c>
      <c r="E226">
        <v>316</v>
      </c>
      <c r="F226">
        <v>315</v>
      </c>
      <c r="G226" s="114">
        <f t="shared" si="82"/>
        <v>631</v>
      </c>
      <c r="H226">
        <v>561</v>
      </c>
      <c r="I226">
        <v>650</v>
      </c>
      <c r="J226" s="114">
        <f t="shared" si="83"/>
        <v>1211</v>
      </c>
      <c r="K226" s="90">
        <v>1174</v>
      </c>
      <c r="L226" s="90">
        <v>1579</v>
      </c>
      <c r="M226" s="114">
        <f t="shared" si="84"/>
        <v>2753</v>
      </c>
      <c r="N226" s="148">
        <v>610</v>
      </c>
      <c r="O226" s="148">
        <v>579</v>
      </c>
      <c r="P226" s="114">
        <f t="shared" si="85"/>
        <v>1189</v>
      </c>
      <c r="Q226" s="148">
        <v>399</v>
      </c>
      <c r="R226" s="148">
        <v>340</v>
      </c>
      <c r="S226" s="114">
        <f t="shared" si="86"/>
        <v>739</v>
      </c>
      <c r="T226" s="148">
        <v>389</v>
      </c>
      <c r="U226" s="148">
        <v>305</v>
      </c>
      <c r="V226" s="114">
        <f t="shared" si="87"/>
        <v>694</v>
      </c>
      <c r="W226" s="148">
        <v>708</v>
      </c>
      <c r="X226" s="148">
        <v>388</v>
      </c>
      <c r="Y226" s="114">
        <f t="shared" si="88"/>
        <v>1096</v>
      </c>
      <c r="Z226">
        <v>776</v>
      </c>
      <c r="AA226">
        <v>736</v>
      </c>
      <c r="AB226" s="114">
        <f t="shared" si="89"/>
        <v>1512</v>
      </c>
      <c r="AC226" s="148">
        <v>88</v>
      </c>
      <c r="AD226" s="148">
        <v>112</v>
      </c>
      <c r="AE226" s="114">
        <f t="shared" si="90"/>
        <v>200</v>
      </c>
      <c r="AF226" s="148">
        <v>903</v>
      </c>
      <c r="AG226" s="90">
        <v>1494</v>
      </c>
      <c r="AH226" s="114">
        <f t="shared" si="91"/>
        <v>2397</v>
      </c>
      <c r="AJ226" s="40"/>
    </row>
    <row r="227" spans="1:36" x14ac:dyDescent="0.3">
      <c r="A227" s="155" t="s">
        <v>190</v>
      </c>
      <c r="B227">
        <v>62</v>
      </c>
      <c r="C227">
        <v>145</v>
      </c>
      <c r="D227" s="114">
        <f>SUM(B227:C227)</f>
        <v>207</v>
      </c>
      <c r="E227">
        <v>21</v>
      </c>
      <c r="F227">
        <v>17</v>
      </c>
      <c r="G227" s="114">
        <f t="shared" si="82"/>
        <v>38</v>
      </c>
      <c r="H227">
        <v>212</v>
      </c>
      <c r="I227">
        <v>252</v>
      </c>
      <c r="J227" s="114">
        <f t="shared" si="83"/>
        <v>464</v>
      </c>
      <c r="K227" s="148">
        <v>993</v>
      </c>
      <c r="L227" s="148">
        <v>564</v>
      </c>
      <c r="M227" s="114">
        <f t="shared" si="84"/>
        <v>1557</v>
      </c>
      <c r="N227" s="148">
        <v>359</v>
      </c>
      <c r="O227" s="148">
        <v>380</v>
      </c>
      <c r="P227" s="114">
        <f t="shared" si="85"/>
        <v>739</v>
      </c>
      <c r="Q227" s="148">
        <v>65</v>
      </c>
      <c r="R227" s="148">
        <v>346</v>
      </c>
      <c r="S227" s="114">
        <f t="shared" si="86"/>
        <v>411</v>
      </c>
      <c r="T227" s="148">
        <v>49</v>
      </c>
      <c r="U227" s="148">
        <v>131</v>
      </c>
      <c r="V227" s="114">
        <f t="shared" si="87"/>
        <v>180</v>
      </c>
      <c r="W227" s="148">
        <v>144</v>
      </c>
      <c r="X227" s="148">
        <v>152</v>
      </c>
      <c r="Y227" s="114">
        <f t="shared" si="88"/>
        <v>296</v>
      </c>
      <c r="Z227">
        <v>295</v>
      </c>
      <c r="AA227">
        <v>328</v>
      </c>
      <c r="AB227" s="114">
        <f t="shared" si="89"/>
        <v>623</v>
      </c>
      <c r="AC227" s="148">
        <v>37</v>
      </c>
      <c r="AD227" s="148">
        <v>76</v>
      </c>
      <c r="AE227" s="114">
        <f t="shared" si="90"/>
        <v>113</v>
      </c>
      <c r="AF227" s="148">
        <v>531</v>
      </c>
      <c r="AG227" s="148">
        <v>512</v>
      </c>
      <c r="AH227" s="114">
        <f t="shared" si="91"/>
        <v>1043</v>
      </c>
      <c r="AJ227" s="40"/>
    </row>
    <row r="228" spans="1:36" x14ac:dyDescent="0.3">
      <c r="A228" s="155" t="s">
        <v>191</v>
      </c>
      <c r="B228">
        <v>237</v>
      </c>
      <c r="C228">
        <v>136</v>
      </c>
      <c r="D228" s="114">
        <f t="shared" si="92"/>
        <v>373</v>
      </c>
      <c r="E228">
        <v>52</v>
      </c>
      <c r="F228">
        <v>84</v>
      </c>
      <c r="G228" s="114">
        <f t="shared" si="82"/>
        <v>136</v>
      </c>
      <c r="H228">
        <v>400</v>
      </c>
      <c r="I228">
        <v>296</v>
      </c>
      <c r="J228" s="114">
        <f t="shared" si="83"/>
        <v>696</v>
      </c>
      <c r="K228" s="148">
        <v>626</v>
      </c>
      <c r="L228" s="148">
        <v>947</v>
      </c>
      <c r="M228" s="114">
        <f t="shared" si="84"/>
        <v>1573</v>
      </c>
      <c r="N228" s="148">
        <v>342</v>
      </c>
      <c r="O228" s="148">
        <v>159</v>
      </c>
      <c r="P228" s="114">
        <f t="shared" si="85"/>
        <v>501</v>
      </c>
      <c r="Q228" s="148">
        <v>175</v>
      </c>
      <c r="R228" s="148">
        <v>250</v>
      </c>
      <c r="S228" s="114">
        <f t="shared" si="86"/>
        <v>425</v>
      </c>
      <c r="T228" s="148">
        <v>176</v>
      </c>
      <c r="U228" s="148">
        <v>101</v>
      </c>
      <c r="V228" s="114">
        <f t="shared" si="87"/>
        <v>277</v>
      </c>
      <c r="W228" s="148">
        <v>330</v>
      </c>
      <c r="X228" s="148">
        <v>229</v>
      </c>
      <c r="Y228" s="114">
        <f t="shared" si="88"/>
        <v>559</v>
      </c>
      <c r="Z228">
        <v>449</v>
      </c>
      <c r="AA228">
        <v>445</v>
      </c>
      <c r="AB228" s="114">
        <f t="shared" si="89"/>
        <v>894</v>
      </c>
      <c r="AC228" s="148">
        <v>174</v>
      </c>
      <c r="AD228" s="148">
        <v>353</v>
      </c>
      <c r="AE228" s="114">
        <f t="shared" si="90"/>
        <v>527</v>
      </c>
      <c r="AF228" s="148">
        <v>455</v>
      </c>
      <c r="AG228" s="148">
        <v>502</v>
      </c>
      <c r="AH228" s="114">
        <f t="shared" si="91"/>
        <v>957</v>
      </c>
      <c r="AJ228" s="40"/>
    </row>
    <row r="229" spans="1:36" x14ac:dyDescent="0.3">
      <c r="A229" s="155" t="s">
        <v>192</v>
      </c>
      <c r="B229" s="40">
        <v>1042</v>
      </c>
      <c r="C229" s="40">
        <v>1335</v>
      </c>
      <c r="D229" s="114">
        <f t="shared" si="92"/>
        <v>2377</v>
      </c>
      <c r="E229">
        <v>437</v>
      </c>
      <c r="F229">
        <v>423</v>
      </c>
      <c r="G229" s="114">
        <f t="shared" si="82"/>
        <v>860</v>
      </c>
      <c r="H229">
        <v>932</v>
      </c>
      <c r="I229" s="40">
        <v>1047</v>
      </c>
      <c r="J229" s="114">
        <f t="shared" si="83"/>
        <v>1979</v>
      </c>
      <c r="K229" s="90">
        <v>2145</v>
      </c>
      <c r="L229" s="90">
        <v>2163</v>
      </c>
      <c r="M229" s="114">
        <f t="shared" si="84"/>
        <v>4308</v>
      </c>
      <c r="N229" s="148">
        <v>859</v>
      </c>
      <c r="O229" s="148">
        <v>974</v>
      </c>
      <c r="P229" s="114">
        <f t="shared" si="85"/>
        <v>1833</v>
      </c>
      <c r="Q229" s="148">
        <v>394</v>
      </c>
      <c r="R229" s="148">
        <v>469</v>
      </c>
      <c r="S229" s="114">
        <f t="shared" si="86"/>
        <v>863</v>
      </c>
      <c r="T229" s="148">
        <v>541</v>
      </c>
      <c r="U229" s="148">
        <v>579</v>
      </c>
      <c r="V229" s="114">
        <f t="shared" si="87"/>
        <v>1120</v>
      </c>
      <c r="W229" s="148">
        <v>628</v>
      </c>
      <c r="X229" s="148">
        <v>497</v>
      </c>
      <c r="Y229" s="114">
        <f t="shared" si="88"/>
        <v>1125</v>
      </c>
      <c r="Z229" s="40">
        <v>1143</v>
      </c>
      <c r="AA229" s="40">
        <v>1379</v>
      </c>
      <c r="AB229" s="114">
        <f t="shared" si="89"/>
        <v>2522</v>
      </c>
      <c r="AC229" s="148">
        <v>314</v>
      </c>
      <c r="AD229" s="148">
        <v>479</v>
      </c>
      <c r="AE229" s="114">
        <f t="shared" si="90"/>
        <v>793</v>
      </c>
      <c r="AF229" s="148">
        <v>977</v>
      </c>
      <c r="AG229" s="148">
        <v>988</v>
      </c>
      <c r="AH229" s="114">
        <f t="shared" si="91"/>
        <v>1965</v>
      </c>
      <c r="AJ229" s="40"/>
    </row>
    <row r="230" spans="1:36" x14ac:dyDescent="0.3">
      <c r="A230" s="155" t="s">
        <v>193</v>
      </c>
      <c r="B230" s="40">
        <v>2130</v>
      </c>
      <c r="C230" s="40">
        <v>2489</v>
      </c>
      <c r="D230" s="114">
        <f>SUM(B230:C230)</f>
        <v>4619</v>
      </c>
      <c r="E230" s="40">
        <v>1467</v>
      </c>
      <c r="F230" s="40">
        <v>1400</v>
      </c>
      <c r="G230" s="114">
        <f t="shared" si="82"/>
        <v>2867</v>
      </c>
      <c r="H230" s="40">
        <v>1775</v>
      </c>
      <c r="I230" s="40">
        <v>2678</v>
      </c>
      <c r="J230" s="114">
        <f t="shared" si="83"/>
        <v>4453</v>
      </c>
      <c r="K230" s="90">
        <v>3496</v>
      </c>
      <c r="L230" s="90">
        <v>4075</v>
      </c>
      <c r="M230" s="114">
        <f t="shared" si="84"/>
        <v>7571</v>
      </c>
      <c r="N230" s="90">
        <v>1912</v>
      </c>
      <c r="O230" s="90">
        <v>1652</v>
      </c>
      <c r="P230" s="114">
        <f t="shared" si="85"/>
        <v>3564</v>
      </c>
      <c r="Q230" s="90">
        <v>1042</v>
      </c>
      <c r="R230" s="90">
        <v>1059</v>
      </c>
      <c r="S230" s="114">
        <f t="shared" si="86"/>
        <v>2101</v>
      </c>
      <c r="T230" s="148">
        <v>821</v>
      </c>
      <c r="U230" s="148">
        <v>726</v>
      </c>
      <c r="V230" s="114">
        <f t="shared" si="87"/>
        <v>1547</v>
      </c>
      <c r="W230" s="90">
        <v>1213</v>
      </c>
      <c r="X230" s="90">
        <v>1187</v>
      </c>
      <c r="Y230" s="114">
        <f t="shared" si="88"/>
        <v>2400</v>
      </c>
      <c r="Z230" s="40">
        <v>2265</v>
      </c>
      <c r="AA230" s="40">
        <v>2254</v>
      </c>
      <c r="AB230" s="114">
        <f t="shared" si="89"/>
        <v>4519</v>
      </c>
      <c r="AC230" s="148">
        <v>791</v>
      </c>
      <c r="AD230" s="90">
        <v>1043</v>
      </c>
      <c r="AE230" s="114">
        <f t="shared" si="90"/>
        <v>1834</v>
      </c>
      <c r="AF230" s="90">
        <v>1153</v>
      </c>
      <c r="AG230" s="90">
        <v>1528</v>
      </c>
      <c r="AH230" s="114">
        <f t="shared" si="91"/>
        <v>2681</v>
      </c>
      <c r="AJ230" s="40"/>
    </row>
    <row r="231" spans="1:36" x14ac:dyDescent="0.3">
      <c r="A231" s="155" t="s">
        <v>194</v>
      </c>
      <c r="B231" s="40">
        <v>3536</v>
      </c>
      <c r="C231" s="40">
        <v>2883</v>
      </c>
      <c r="D231" s="114">
        <f t="shared" si="92"/>
        <v>6419</v>
      </c>
      <c r="E231" s="40">
        <v>1342</v>
      </c>
      <c r="F231" s="40">
        <v>1473</v>
      </c>
      <c r="G231" s="114">
        <f t="shared" si="82"/>
        <v>2815</v>
      </c>
      <c r="H231" s="40">
        <v>2815</v>
      </c>
      <c r="I231" s="40">
        <v>1812</v>
      </c>
      <c r="J231" s="114">
        <f t="shared" si="83"/>
        <v>4627</v>
      </c>
      <c r="K231" s="90">
        <v>3689</v>
      </c>
      <c r="L231" s="90">
        <v>3535</v>
      </c>
      <c r="M231" s="114">
        <f t="shared" si="84"/>
        <v>7224</v>
      </c>
      <c r="N231" s="90">
        <v>1560</v>
      </c>
      <c r="O231" s="90">
        <v>1216</v>
      </c>
      <c r="P231" s="114">
        <f t="shared" si="85"/>
        <v>2776</v>
      </c>
      <c r="Q231" s="90">
        <v>1099</v>
      </c>
      <c r="R231" s="90">
        <v>1103</v>
      </c>
      <c r="S231" s="114">
        <f t="shared" si="86"/>
        <v>2202</v>
      </c>
      <c r="T231" s="90">
        <v>1160</v>
      </c>
      <c r="U231" s="90">
        <v>1209</v>
      </c>
      <c r="V231" s="114">
        <f t="shared" si="87"/>
        <v>2369</v>
      </c>
      <c r="W231" s="90">
        <v>1365</v>
      </c>
      <c r="X231" s="90">
        <v>1631</v>
      </c>
      <c r="Y231" s="114">
        <f t="shared" si="88"/>
        <v>2996</v>
      </c>
      <c r="Z231" s="40">
        <v>2390</v>
      </c>
      <c r="AA231" s="40">
        <v>2317</v>
      </c>
      <c r="AB231" s="114">
        <f t="shared" si="89"/>
        <v>4707</v>
      </c>
      <c r="AC231" s="90">
        <v>1393</v>
      </c>
      <c r="AD231" s="90">
        <v>1132</v>
      </c>
      <c r="AE231" s="114">
        <f t="shared" si="90"/>
        <v>2525</v>
      </c>
      <c r="AF231" s="90">
        <v>1298</v>
      </c>
      <c r="AG231" s="90">
        <v>1368</v>
      </c>
      <c r="AH231" s="114">
        <f t="shared" si="91"/>
        <v>2666</v>
      </c>
      <c r="AJ231" s="40"/>
    </row>
    <row r="232" spans="1:36" x14ac:dyDescent="0.3">
      <c r="A232" s="155" t="s">
        <v>195</v>
      </c>
      <c r="B232" s="40">
        <v>2395</v>
      </c>
      <c r="C232" s="40">
        <v>1430</v>
      </c>
      <c r="D232" s="114">
        <f t="shared" si="92"/>
        <v>3825</v>
      </c>
      <c r="E232" s="40">
        <v>1297</v>
      </c>
      <c r="F232" s="40">
        <v>1324</v>
      </c>
      <c r="G232" s="114">
        <f t="shared" si="82"/>
        <v>2621</v>
      </c>
      <c r="H232" s="40">
        <v>1278</v>
      </c>
      <c r="I232" s="40">
        <v>1458</v>
      </c>
      <c r="J232" s="114">
        <f t="shared" si="83"/>
        <v>2736</v>
      </c>
      <c r="K232" s="90">
        <v>3042</v>
      </c>
      <c r="L232" s="90">
        <v>3920</v>
      </c>
      <c r="M232" s="114">
        <f t="shared" si="84"/>
        <v>6962</v>
      </c>
      <c r="N232" s="90">
        <v>1704</v>
      </c>
      <c r="O232" s="90">
        <v>1463</v>
      </c>
      <c r="P232" s="114">
        <f t="shared" si="85"/>
        <v>3167</v>
      </c>
      <c r="Q232" s="90">
        <v>1303</v>
      </c>
      <c r="R232" s="90">
        <v>1517</v>
      </c>
      <c r="S232" s="114">
        <f t="shared" si="86"/>
        <v>2820</v>
      </c>
      <c r="T232" s="90">
        <v>1535</v>
      </c>
      <c r="U232" s="90">
        <v>1401</v>
      </c>
      <c r="V232" s="114">
        <f t="shared" si="87"/>
        <v>2936</v>
      </c>
      <c r="W232" s="90">
        <v>1326</v>
      </c>
      <c r="X232" s="90">
        <v>1298</v>
      </c>
      <c r="Y232" s="114">
        <f t="shared" si="88"/>
        <v>2624</v>
      </c>
      <c r="Z232" s="40">
        <v>1714</v>
      </c>
      <c r="AA232" s="40">
        <v>1601</v>
      </c>
      <c r="AB232" s="114">
        <f t="shared" si="89"/>
        <v>3315</v>
      </c>
      <c r="AC232" s="90">
        <v>1320</v>
      </c>
      <c r="AD232" s="90">
        <v>1340</v>
      </c>
      <c r="AE232" s="114">
        <f t="shared" si="90"/>
        <v>2660</v>
      </c>
      <c r="AF232" s="90">
        <v>1465</v>
      </c>
      <c r="AG232" s="90">
        <v>1322</v>
      </c>
      <c r="AH232" s="114">
        <f t="shared" si="91"/>
        <v>2787</v>
      </c>
      <c r="AJ232" s="40"/>
    </row>
    <row r="233" spans="1:36" x14ac:dyDescent="0.3">
      <c r="A233" s="155" t="s">
        <v>196</v>
      </c>
      <c r="B233" s="40">
        <v>1698</v>
      </c>
      <c r="C233" s="40">
        <v>1531</v>
      </c>
      <c r="D233" s="114">
        <f t="shared" si="92"/>
        <v>3229</v>
      </c>
      <c r="E233" s="40">
        <v>1125</v>
      </c>
      <c r="F233">
        <v>677</v>
      </c>
      <c r="G233" s="114">
        <f t="shared" si="82"/>
        <v>1802</v>
      </c>
      <c r="H233" s="40">
        <v>1597</v>
      </c>
      <c r="I233" s="40">
        <v>1269</v>
      </c>
      <c r="J233" s="114">
        <f t="shared" si="83"/>
        <v>2866</v>
      </c>
      <c r="K233" s="90">
        <v>2704</v>
      </c>
      <c r="L233" s="90">
        <v>3303</v>
      </c>
      <c r="M233" s="114">
        <f t="shared" si="84"/>
        <v>6007</v>
      </c>
      <c r="N233" s="90">
        <v>1229</v>
      </c>
      <c r="O233" s="90">
        <v>1175</v>
      </c>
      <c r="P233" s="114">
        <f t="shared" si="85"/>
        <v>2404</v>
      </c>
      <c r="Q233" s="148">
        <v>791</v>
      </c>
      <c r="R233" s="90">
        <v>1099</v>
      </c>
      <c r="S233" s="114">
        <f t="shared" si="86"/>
        <v>1890</v>
      </c>
      <c r="T233" s="90">
        <v>1302</v>
      </c>
      <c r="U233" s="90">
        <v>1206</v>
      </c>
      <c r="V233" s="114">
        <f t="shared" si="87"/>
        <v>2508</v>
      </c>
      <c r="W233" s="90">
        <v>1206</v>
      </c>
      <c r="X233" s="148">
        <v>886</v>
      </c>
      <c r="Y233" s="114">
        <f t="shared" si="88"/>
        <v>2092</v>
      </c>
      <c r="Z233" s="40">
        <v>1977</v>
      </c>
      <c r="AA233" s="40">
        <v>1671</v>
      </c>
      <c r="AB233" s="114">
        <f t="shared" si="89"/>
        <v>3648</v>
      </c>
      <c r="AC233" s="148">
        <v>624</v>
      </c>
      <c r="AD233" s="148">
        <v>600</v>
      </c>
      <c r="AE233" s="114">
        <f t="shared" si="90"/>
        <v>1224</v>
      </c>
      <c r="AF233" s="90">
        <v>1185</v>
      </c>
      <c r="AG233" s="90">
        <v>1426</v>
      </c>
      <c r="AH233" s="114">
        <f t="shared" si="91"/>
        <v>2611</v>
      </c>
      <c r="AJ233" s="40"/>
    </row>
    <row r="234" spans="1:36" x14ac:dyDescent="0.3">
      <c r="A234" s="155" t="s">
        <v>197</v>
      </c>
      <c r="B234" s="40">
        <v>1367</v>
      </c>
      <c r="C234">
        <v>964</v>
      </c>
      <c r="D234" s="114">
        <f t="shared" si="92"/>
        <v>2331</v>
      </c>
      <c r="E234" s="40">
        <v>1374</v>
      </c>
      <c r="F234">
        <v>750</v>
      </c>
      <c r="G234" s="114">
        <f t="shared" si="82"/>
        <v>2124</v>
      </c>
      <c r="H234" s="40">
        <v>1089</v>
      </c>
      <c r="I234" s="40">
        <v>1380</v>
      </c>
      <c r="J234" s="114">
        <f t="shared" si="83"/>
        <v>2469</v>
      </c>
      <c r="K234" s="90">
        <v>2777</v>
      </c>
      <c r="L234" s="90">
        <v>3075</v>
      </c>
      <c r="M234" s="114">
        <f t="shared" si="84"/>
        <v>5852</v>
      </c>
      <c r="N234" s="90">
        <v>1165</v>
      </c>
      <c r="O234" s="90">
        <v>1360</v>
      </c>
      <c r="P234" s="114">
        <f t="shared" si="85"/>
        <v>2525</v>
      </c>
      <c r="Q234" s="90">
        <v>1431</v>
      </c>
      <c r="R234" s="90">
        <v>1222</v>
      </c>
      <c r="S234" s="114">
        <f t="shared" si="86"/>
        <v>2653</v>
      </c>
      <c r="T234" s="90">
        <v>1361</v>
      </c>
      <c r="U234" s="90">
        <v>1417</v>
      </c>
      <c r="V234" s="114">
        <f t="shared" si="87"/>
        <v>2778</v>
      </c>
      <c r="W234" s="148">
        <v>730</v>
      </c>
      <c r="X234" s="148">
        <v>761</v>
      </c>
      <c r="Y234" s="114">
        <f t="shared" si="88"/>
        <v>1491</v>
      </c>
      <c r="Z234" s="40">
        <v>1367</v>
      </c>
      <c r="AA234" s="40">
        <v>1551</v>
      </c>
      <c r="AB234" s="114">
        <f t="shared" si="89"/>
        <v>2918</v>
      </c>
      <c r="AC234" s="148">
        <v>451</v>
      </c>
      <c r="AD234" s="148">
        <v>764</v>
      </c>
      <c r="AE234" s="114">
        <f t="shared" si="90"/>
        <v>1215</v>
      </c>
      <c r="AF234" s="90">
        <v>1437</v>
      </c>
      <c r="AG234" s="90">
        <v>1761</v>
      </c>
      <c r="AH234" s="114">
        <f t="shared" si="91"/>
        <v>3198</v>
      </c>
      <c r="AJ234" s="40"/>
    </row>
    <row r="235" spans="1:36" x14ac:dyDescent="0.3">
      <c r="A235" s="155" t="s">
        <v>198</v>
      </c>
      <c r="B235" s="40">
        <v>1589</v>
      </c>
      <c r="C235" s="40">
        <v>1098</v>
      </c>
      <c r="D235" s="114">
        <f t="shared" si="92"/>
        <v>2687</v>
      </c>
      <c r="E235" s="40">
        <v>1171</v>
      </c>
      <c r="F235" s="40">
        <v>1415</v>
      </c>
      <c r="G235" s="114">
        <f t="shared" si="82"/>
        <v>2586</v>
      </c>
      <c r="H235" s="40">
        <v>1278</v>
      </c>
      <c r="I235" s="40">
        <v>1492</v>
      </c>
      <c r="J235" s="114">
        <f t="shared" si="83"/>
        <v>2770</v>
      </c>
      <c r="K235" s="90">
        <v>2858</v>
      </c>
      <c r="L235" s="90">
        <v>3368</v>
      </c>
      <c r="M235" s="114">
        <f t="shared" si="84"/>
        <v>6226</v>
      </c>
      <c r="N235" s="90">
        <v>1467</v>
      </c>
      <c r="O235" s="148">
        <v>935</v>
      </c>
      <c r="P235" s="114">
        <f t="shared" si="85"/>
        <v>2402</v>
      </c>
      <c r="Q235" s="90">
        <v>1039</v>
      </c>
      <c r="R235" s="148">
        <v>964</v>
      </c>
      <c r="S235" s="114">
        <f t="shared" si="86"/>
        <v>2003</v>
      </c>
      <c r="T235" s="90">
        <v>1489</v>
      </c>
      <c r="U235" s="90">
        <v>1509</v>
      </c>
      <c r="V235" s="114">
        <f t="shared" si="87"/>
        <v>2998</v>
      </c>
      <c r="W235" s="90">
        <v>1199</v>
      </c>
      <c r="X235" s="90">
        <v>1332</v>
      </c>
      <c r="Y235" s="114">
        <f t="shared" si="88"/>
        <v>2531</v>
      </c>
      <c r="Z235" s="40">
        <v>1534</v>
      </c>
      <c r="AA235" s="40">
        <v>1671</v>
      </c>
      <c r="AB235" s="114">
        <f t="shared" si="89"/>
        <v>3205</v>
      </c>
      <c r="AC235" s="148">
        <v>519</v>
      </c>
      <c r="AD235" s="148">
        <v>583</v>
      </c>
      <c r="AE235" s="114">
        <f t="shared" si="90"/>
        <v>1102</v>
      </c>
      <c r="AF235" s="90">
        <v>1190</v>
      </c>
      <c r="AG235" s="90">
        <v>1231</v>
      </c>
      <c r="AH235" s="114">
        <f t="shared" si="91"/>
        <v>2421</v>
      </c>
      <c r="AJ235" s="40"/>
    </row>
    <row r="236" spans="1:36" x14ac:dyDescent="0.3">
      <c r="A236" s="155" t="s">
        <v>199</v>
      </c>
      <c r="B236" s="40">
        <v>1058</v>
      </c>
      <c r="C236" s="40">
        <v>1012</v>
      </c>
      <c r="D236" s="114">
        <f t="shared" si="92"/>
        <v>2070</v>
      </c>
      <c r="E236" s="40">
        <v>1376</v>
      </c>
      <c r="F236" s="40">
        <v>1322</v>
      </c>
      <c r="G236" s="114">
        <f t="shared" si="82"/>
        <v>2698</v>
      </c>
      <c r="H236">
        <v>970</v>
      </c>
      <c r="I236">
        <v>897</v>
      </c>
      <c r="J236" s="114">
        <f t="shared" si="83"/>
        <v>1867</v>
      </c>
      <c r="K236" s="90">
        <v>2759</v>
      </c>
      <c r="L236" s="90">
        <v>2656</v>
      </c>
      <c r="M236" s="114">
        <f t="shared" si="84"/>
        <v>5415</v>
      </c>
      <c r="N236" s="90">
        <v>1220</v>
      </c>
      <c r="O236" s="90">
        <v>1588</v>
      </c>
      <c r="P236" s="114">
        <f t="shared" si="85"/>
        <v>2808</v>
      </c>
      <c r="Q236" s="90">
        <v>1270</v>
      </c>
      <c r="R236" s="90">
        <v>1394</v>
      </c>
      <c r="S236" s="114">
        <f t="shared" si="86"/>
        <v>2664</v>
      </c>
      <c r="T236" s="90">
        <v>1360</v>
      </c>
      <c r="U236" s="90">
        <v>1373</v>
      </c>
      <c r="V236" s="114">
        <f t="shared" si="87"/>
        <v>2733</v>
      </c>
      <c r="W236" s="90">
        <v>1447</v>
      </c>
      <c r="X236" s="90">
        <v>1312</v>
      </c>
      <c r="Y236" s="114">
        <f t="shared" si="88"/>
        <v>2759</v>
      </c>
      <c r="Z236" s="40">
        <v>1873</v>
      </c>
      <c r="AA236" s="40">
        <v>1470</v>
      </c>
      <c r="AB236" s="114">
        <f t="shared" si="89"/>
        <v>3343</v>
      </c>
      <c r="AC236" s="148">
        <v>663</v>
      </c>
      <c r="AD236" s="148">
        <v>605</v>
      </c>
      <c r="AE236" s="114">
        <f t="shared" si="90"/>
        <v>1268</v>
      </c>
      <c r="AF236" s="90">
        <v>1778</v>
      </c>
      <c r="AG236" s="90">
        <v>1541</v>
      </c>
      <c r="AH236" s="114">
        <f t="shared" si="91"/>
        <v>3319</v>
      </c>
      <c r="AJ236" s="40"/>
    </row>
    <row r="237" spans="1:36" x14ac:dyDescent="0.3">
      <c r="A237" s="155" t="s">
        <v>200</v>
      </c>
      <c r="B237">
        <v>484</v>
      </c>
      <c r="C237">
        <v>314</v>
      </c>
      <c r="D237" s="114">
        <f t="shared" si="92"/>
        <v>798</v>
      </c>
      <c r="E237">
        <v>378</v>
      </c>
      <c r="F237">
        <v>460</v>
      </c>
      <c r="G237" s="114">
        <f t="shared" si="82"/>
        <v>838</v>
      </c>
      <c r="H237">
        <v>530</v>
      </c>
      <c r="I237">
        <v>454</v>
      </c>
      <c r="J237" s="114">
        <f t="shared" si="83"/>
        <v>984</v>
      </c>
      <c r="K237" s="148">
        <v>824</v>
      </c>
      <c r="L237" s="148">
        <v>997</v>
      </c>
      <c r="M237" s="114">
        <f t="shared" si="84"/>
        <v>1821</v>
      </c>
      <c r="N237" s="148">
        <v>567</v>
      </c>
      <c r="O237" s="148">
        <v>617</v>
      </c>
      <c r="P237" s="114">
        <f t="shared" si="85"/>
        <v>1184</v>
      </c>
      <c r="Q237" s="148">
        <v>503</v>
      </c>
      <c r="R237" s="148">
        <v>522</v>
      </c>
      <c r="S237" s="114">
        <f t="shared" si="86"/>
        <v>1025</v>
      </c>
      <c r="T237" s="148">
        <v>611</v>
      </c>
      <c r="U237" s="148">
        <v>572</v>
      </c>
      <c r="V237" s="114">
        <f t="shared" si="87"/>
        <v>1183</v>
      </c>
      <c r="W237" s="148">
        <v>443</v>
      </c>
      <c r="X237" s="148">
        <v>549</v>
      </c>
      <c r="Y237" s="114">
        <f t="shared" si="88"/>
        <v>992</v>
      </c>
      <c r="Z237">
        <v>586</v>
      </c>
      <c r="AA237">
        <v>624</v>
      </c>
      <c r="AB237" s="114">
        <f t="shared" si="89"/>
        <v>1210</v>
      </c>
      <c r="AC237" s="148">
        <v>268</v>
      </c>
      <c r="AD237" s="148">
        <v>198</v>
      </c>
      <c r="AE237" s="114">
        <f t="shared" si="90"/>
        <v>466</v>
      </c>
      <c r="AF237" s="148">
        <v>527</v>
      </c>
      <c r="AG237" s="148">
        <v>588</v>
      </c>
      <c r="AH237" s="114">
        <f t="shared" si="91"/>
        <v>1115</v>
      </c>
      <c r="AJ237" s="40"/>
    </row>
    <row r="238" spans="1:36" x14ac:dyDescent="0.3">
      <c r="A238" s="155" t="s">
        <v>201</v>
      </c>
      <c r="B238">
        <v>944</v>
      </c>
      <c r="C238">
        <v>780</v>
      </c>
      <c r="D238" s="114">
        <f t="shared" si="92"/>
        <v>1724</v>
      </c>
      <c r="E238">
        <v>881</v>
      </c>
      <c r="F238">
        <v>546</v>
      </c>
      <c r="G238" s="114">
        <f t="shared" si="82"/>
        <v>1427</v>
      </c>
      <c r="H238">
        <v>471</v>
      </c>
      <c r="I238">
        <v>537</v>
      </c>
      <c r="J238" s="114">
        <f t="shared" si="83"/>
        <v>1008</v>
      </c>
      <c r="K238" s="90">
        <v>1444</v>
      </c>
      <c r="L238" s="90">
        <v>1914</v>
      </c>
      <c r="M238" s="114">
        <f t="shared" si="84"/>
        <v>3358</v>
      </c>
      <c r="N238" s="148">
        <v>513</v>
      </c>
      <c r="O238" s="148">
        <v>710</v>
      </c>
      <c r="P238" s="114">
        <f t="shared" si="85"/>
        <v>1223</v>
      </c>
      <c r="Q238" s="148">
        <v>606</v>
      </c>
      <c r="R238" s="148">
        <v>543</v>
      </c>
      <c r="S238" s="114">
        <f t="shared" si="86"/>
        <v>1149</v>
      </c>
      <c r="T238" s="148">
        <v>733</v>
      </c>
      <c r="U238" s="148">
        <v>610</v>
      </c>
      <c r="V238" s="114">
        <f t="shared" si="87"/>
        <v>1343</v>
      </c>
      <c r="W238" s="148">
        <v>930</v>
      </c>
      <c r="X238" s="148">
        <v>778</v>
      </c>
      <c r="Y238" s="114">
        <f t="shared" si="88"/>
        <v>1708</v>
      </c>
      <c r="Z238">
        <v>666</v>
      </c>
      <c r="AA238">
        <v>529</v>
      </c>
      <c r="AB238" s="114">
        <f t="shared" si="89"/>
        <v>1195</v>
      </c>
      <c r="AC238" s="148">
        <v>279</v>
      </c>
      <c r="AD238" s="148">
        <v>318</v>
      </c>
      <c r="AE238" s="114">
        <f t="shared" si="90"/>
        <v>597</v>
      </c>
      <c r="AF238" s="148">
        <v>788</v>
      </c>
      <c r="AG238" s="148">
        <v>733</v>
      </c>
      <c r="AH238" s="114">
        <f t="shared" si="91"/>
        <v>1521</v>
      </c>
      <c r="AJ238" s="40"/>
    </row>
    <row r="239" spans="1:36" x14ac:dyDescent="0.3">
      <c r="A239" s="155" t="s">
        <v>202</v>
      </c>
      <c r="B239">
        <v>347</v>
      </c>
      <c r="C239">
        <v>506</v>
      </c>
      <c r="D239" s="114">
        <f t="shared" si="92"/>
        <v>853</v>
      </c>
      <c r="E239">
        <v>313</v>
      </c>
      <c r="F239">
        <v>465</v>
      </c>
      <c r="G239" s="114">
        <f t="shared" si="82"/>
        <v>778</v>
      </c>
      <c r="H239">
        <v>243</v>
      </c>
      <c r="I239">
        <v>404</v>
      </c>
      <c r="J239" s="114">
        <f t="shared" si="83"/>
        <v>647</v>
      </c>
      <c r="K239" s="148">
        <v>478</v>
      </c>
      <c r="L239" s="148">
        <v>666</v>
      </c>
      <c r="M239" s="114">
        <f t="shared" si="84"/>
        <v>1144</v>
      </c>
      <c r="N239" s="148">
        <v>226</v>
      </c>
      <c r="O239" s="148">
        <v>457</v>
      </c>
      <c r="P239" s="114">
        <f t="shared" si="85"/>
        <v>683</v>
      </c>
      <c r="Q239" s="148">
        <v>397</v>
      </c>
      <c r="R239" s="148">
        <v>354</v>
      </c>
      <c r="S239" s="114">
        <f t="shared" si="86"/>
        <v>751</v>
      </c>
      <c r="T239" s="148">
        <v>557</v>
      </c>
      <c r="U239" s="148">
        <v>571</v>
      </c>
      <c r="V239" s="114">
        <f t="shared" si="87"/>
        <v>1128</v>
      </c>
      <c r="W239" s="148">
        <v>426</v>
      </c>
      <c r="X239" s="148">
        <v>314</v>
      </c>
      <c r="Y239" s="114">
        <f t="shared" si="88"/>
        <v>740</v>
      </c>
      <c r="Z239">
        <v>405</v>
      </c>
      <c r="AA239">
        <v>581</v>
      </c>
      <c r="AB239" s="114">
        <f t="shared" si="89"/>
        <v>986</v>
      </c>
      <c r="AC239" s="148">
        <v>231</v>
      </c>
      <c r="AD239" s="148">
        <v>159</v>
      </c>
      <c r="AE239" s="114">
        <f t="shared" si="90"/>
        <v>390</v>
      </c>
      <c r="AF239" s="148">
        <v>429</v>
      </c>
      <c r="AG239" s="148">
        <v>332</v>
      </c>
      <c r="AH239" s="114">
        <f t="shared" si="91"/>
        <v>761</v>
      </c>
      <c r="AJ239" s="40"/>
    </row>
    <row r="240" spans="1:36" x14ac:dyDescent="0.3">
      <c r="A240" s="155" t="s">
        <v>203</v>
      </c>
      <c r="B240">
        <v>451</v>
      </c>
      <c r="C240">
        <v>542</v>
      </c>
      <c r="D240" s="114">
        <f t="shared" si="92"/>
        <v>993</v>
      </c>
      <c r="E240">
        <v>621</v>
      </c>
      <c r="F240">
        <v>636</v>
      </c>
      <c r="G240" s="114">
        <f t="shared" si="82"/>
        <v>1257</v>
      </c>
      <c r="H240">
        <v>357</v>
      </c>
      <c r="I240">
        <v>475</v>
      </c>
      <c r="J240" s="114">
        <f t="shared" si="83"/>
        <v>832</v>
      </c>
      <c r="K240" s="148">
        <v>963</v>
      </c>
      <c r="L240" s="90">
        <v>1627</v>
      </c>
      <c r="M240" s="114">
        <f t="shared" si="84"/>
        <v>2590</v>
      </c>
      <c r="N240" s="148">
        <v>303</v>
      </c>
      <c r="O240" s="148">
        <v>436</v>
      </c>
      <c r="P240" s="114">
        <f t="shared" si="85"/>
        <v>739</v>
      </c>
      <c r="Q240" s="148">
        <v>501</v>
      </c>
      <c r="R240" s="148">
        <v>654</v>
      </c>
      <c r="S240" s="114">
        <f t="shared" si="86"/>
        <v>1155</v>
      </c>
      <c r="T240" s="148">
        <v>494</v>
      </c>
      <c r="U240" s="148">
        <v>871</v>
      </c>
      <c r="V240" s="114">
        <f t="shared" si="87"/>
        <v>1365</v>
      </c>
      <c r="W240" s="148">
        <v>369</v>
      </c>
      <c r="X240" s="148">
        <v>469</v>
      </c>
      <c r="Y240" s="114">
        <f t="shared" si="88"/>
        <v>838</v>
      </c>
      <c r="Z240">
        <v>630</v>
      </c>
      <c r="AA240">
        <v>691</v>
      </c>
      <c r="AB240" s="114">
        <f t="shared" si="89"/>
        <v>1321</v>
      </c>
      <c r="AC240" s="148">
        <v>176</v>
      </c>
      <c r="AD240" s="148">
        <v>190</v>
      </c>
      <c r="AE240" s="114">
        <f t="shared" si="90"/>
        <v>366</v>
      </c>
      <c r="AF240" s="148">
        <v>470</v>
      </c>
      <c r="AG240" s="148">
        <v>568</v>
      </c>
      <c r="AH240" s="114">
        <f t="shared" si="91"/>
        <v>1038</v>
      </c>
      <c r="AJ240" s="40"/>
    </row>
    <row r="241" spans="1:36" x14ac:dyDescent="0.3">
      <c r="A241" s="155" t="s">
        <v>204</v>
      </c>
      <c r="B241">
        <v>449</v>
      </c>
      <c r="C241">
        <v>472</v>
      </c>
      <c r="D241" s="114">
        <f t="shared" si="92"/>
        <v>921</v>
      </c>
      <c r="E241">
        <v>997</v>
      </c>
      <c r="F241" s="40">
        <v>1117</v>
      </c>
      <c r="G241" s="114">
        <f t="shared" si="82"/>
        <v>2114</v>
      </c>
      <c r="H241">
        <v>487</v>
      </c>
      <c r="I241">
        <v>367</v>
      </c>
      <c r="J241" s="114">
        <f t="shared" si="83"/>
        <v>854</v>
      </c>
      <c r="K241" s="90">
        <v>1057</v>
      </c>
      <c r="L241" s="90">
        <v>1608</v>
      </c>
      <c r="M241" s="114">
        <f t="shared" si="84"/>
        <v>2665</v>
      </c>
      <c r="N241" s="148">
        <v>764</v>
      </c>
      <c r="O241" s="148">
        <v>795</v>
      </c>
      <c r="P241" s="114">
        <f t="shared" si="85"/>
        <v>1559</v>
      </c>
      <c r="Q241" s="148">
        <v>574</v>
      </c>
      <c r="R241" s="148">
        <v>933</v>
      </c>
      <c r="S241" s="114">
        <f t="shared" si="86"/>
        <v>1507</v>
      </c>
      <c r="T241" s="90">
        <v>1120</v>
      </c>
      <c r="U241" s="90">
        <v>1061</v>
      </c>
      <c r="V241" s="114">
        <f t="shared" si="87"/>
        <v>2181</v>
      </c>
      <c r="W241" s="148">
        <v>783</v>
      </c>
      <c r="X241" s="148">
        <v>884</v>
      </c>
      <c r="Y241" s="114">
        <f t="shared" si="88"/>
        <v>1667</v>
      </c>
      <c r="Z241">
        <v>586</v>
      </c>
      <c r="AA241">
        <v>713</v>
      </c>
      <c r="AB241" s="114">
        <f t="shared" si="89"/>
        <v>1299</v>
      </c>
      <c r="AC241" s="148">
        <v>423</v>
      </c>
      <c r="AD241" s="148">
        <v>399</v>
      </c>
      <c r="AE241" s="114">
        <f t="shared" si="90"/>
        <v>822</v>
      </c>
      <c r="AF241" s="148">
        <v>653</v>
      </c>
      <c r="AG241" s="90">
        <v>1099</v>
      </c>
      <c r="AH241" s="114">
        <f t="shared" si="91"/>
        <v>1752</v>
      </c>
      <c r="AJ241" s="40"/>
    </row>
    <row r="242" spans="1:36" x14ac:dyDescent="0.3">
      <c r="A242" s="155" t="s">
        <v>205</v>
      </c>
      <c r="B242">
        <v>145</v>
      </c>
      <c r="C242">
        <v>385</v>
      </c>
      <c r="D242" s="114">
        <f t="shared" si="92"/>
        <v>530</v>
      </c>
      <c r="E242">
        <v>841</v>
      </c>
      <c r="F242">
        <v>896</v>
      </c>
      <c r="G242" s="114">
        <f t="shared" si="82"/>
        <v>1737</v>
      </c>
      <c r="H242">
        <v>158</v>
      </c>
      <c r="I242">
        <v>266</v>
      </c>
      <c r="J242" s="114">
        <f t="shared" si="83"/>
        <v>424</v>
      </c>
      <c r="K242" s="148">
        <v>589</v>
      </c>
      <c r="L242" s="90">
        <v>1036</v>
      </c>
      <c r="M242" s="114">
        <f t="shared" si="84"/>
        <v>1625</v>
      </c>
      <c r="N242" s="148">
        <v>384</v>
      </c>
      <c r="O242" s="148">
        <v>409</v>
      </c>
      <c r="P242" s="114">
        <f t="shared" si="85"/>
        <v>793</v>
      </c>
      <c r="Q242" s="148">
        <v>495</v>
      </c>
      <c r="R242" s="148">
        <v>375</v>
      </c>
      <c r="S242" s="114">
        <f t="shared" si="86"/>
        <v>870</v>
      </c>
      <c r="T242" s="148">
        <v>511</v>
      </c>
      <c r="U242" s="148">
        <v>865</v>
      </c>
      <c r="V242" s="114">
        <f t="shared" si="87"/>
        <v>1376</v>
      </c>
      <c r="W242" s="148">
        <v>359</v>
      </c>
      <c r="X242" s="148">
        <v>475</v>
      </c>
      <c r="Y242" s="114">
        <f t="shared" si="88"/>
        <v>834</v>
      </c>
      <c r="Z242">
        <v>306</v>
      </c>
      <c r="AA242">
        <v>534</v>
      </c>
      <c r="AB242" s="114">
        <f t="shared" si="89"/>
        <v>840</v>
      </c>
      <c r="AC242" s="148">
        <v>147</v>
      </c>
      <c r="AD242" s="148">
        <v>165</v>
      </c>
      <c r="AE242" s="114">
        <f t="shared" si="90"/>
        <v>312</v>
      </c>
      <c r="AF242" s="148">
        <v>442</v>
      </c>
      <c r="AG242" s="148">
        <v>756</v>
      </c>
      <c r="AH242" s="114">
        <f t="shared" si="91"/>
        <v>1198</v>
      </c>
      <c r="AJ242" s="40"/>
    </row>
    <row r="243" spans="1:36" x14ac:dyDescent="0.3">
      <c r="A243" s="155" t="s">
        <v>206</v>
      </c>
      <c r="B243">
        <v>201</v>
      </c>
      <c r="C243">
        <v>85</v>
      </c>
      <c r="D243" s="114">
        <f t="shared" si="92"/>
        <v>286</v>
      </c>
      <c r="E243">
        <v>418</v>
      </c>
      <c r="F243">
        <v>315</v>
      </c>
      <c r="G243" s="114">
        <f t="shared" si="82"/>
        <v>733</v>
      </c>
      <c r="H243">
        <v>119</v>
      </c>
      <c r="I243">
        <v>218</v>
      </c>
      <c r="J243" s="114">
        <f t="shared" si="83"/>
        <v>337</v>
      </c>
      <c r="K243" s="148">
        <v>434</v>
      </c>
      <c r="L243" s="148">
        <v>472</v>
      </c>
      <c r="M243" s="114">
        <f t="shared" si="84"/>
        <v>906</v>
      </c>
      <c r="N243" s="148">
        <v>95</v>
      </c>
      <c r="O243" s="148">
        <v>259</v>
      </c>
      <c r="P243" s="114">
        <f t="shared" si="85"/>
        <v>354</v>
      </c>
      <c r="Q243" s="148">
        <v>225</v>
      </c>
      <c r="R243" s="148">
        <v>387</v>
      </c>
      <c r="S243" s="114">
        <f t="shared" si="86"/>
        <v>612</v>
      </c>
      <c r="T243" s="148">
        <v>395</v>
      </c>
      <c r="U243" s="148">
        <v>369</v>
      </c>
      <c r="V243" s="114">
        <f t="shared" si="87"/>
        <v>764</v>
      </c>
      <c r="W243" s="148">
        <v>162</v>
      </c>
      <c r="X243" s="148">
        <v>341</v>
      </c>
      <c r="Y243" s="114">
        <f t="shared" si="88"/>
        <v>503</v>
      </c>
      <c r="Z243">
        <v>236</v>
      </c>
      <c r="AA243">
        <v>286</v>
      </c>
      <c r="AB243" s="114">
        <f t="shared" si="89"/>
        <v>522</v>
      </c>
      <c r="AC243" s="148">
        <v>144</v>
      </c>
      <c r="AD243" s="148">
        <v>131</v>
      </c>
      <c r="AE243" s="114">
        <f t="shared" si="90"/>
        <v>275</v>
      </c>
      <c r="AF243" s="148">
        <v>262</v>
      </c>
      <c r="AG243" s="148">
        <v>439</v>
      </c>
      <c r="AH243" s="114">
        <f t="shared" si="91"/>
        <v>701</v>
      </c>
      <c r="AJ243" s="40"/>
    </row>
    <row r="244" spans="1:36" x14ac:dyDescent="0.3">
      <c r="A244" s="155" t="s">
        <v>207</v>
      </c>
      <c r="B244">
        <v>66</v>
      </c>
      <c r="C244">
        <v>138</v>
      </c>
      <c r="D244" s="114">
        <f t="shared" si="92"/>
        <v>204</v>
      </c>
      <c r="E244">
        <v>132</v>
      </c>
      <c r="F244">
        <v>278</v>
      </c>
      <c r="G244" s="114">
        <f t="shared" si="82"/>
        <v>410</v>
      </c>
      <c r="H244">
        <v>64</v>
      </c>
      <c r="I244">
        <v>197</v>
      </c>
      <c r="J244" s="114">
        <f t="shared" si="83"/>
        <v>261</v>
      </c>
      <c r="K244" s="148">
        <v>384</v>
      </c>
      <c r="L244" s="148">
        <v>447</v>
      </c>
      <c r="M244" s="114">
        <f t="shared" si="84"/>
        <v>831</v>
      </c>
      <c r="N244" s="148">
        <v>217</v>
      </c>
      <c r="O244" s="148">
        <v>548</v>
      </c>
      <c r="P244" s="114">
        <f t="shared" si="85"/>
        <v>765</v>
      </c>
      <c r="Q244" s="148">
        <v>306</v>
      </c>
      <c r="R244" s="148">
        <v>455</v>
      </c>
      <c r="S244" s="114">
        <f t="shared" si="86"/>
        <v>761</v>
      </c>
      <c r="T244" s="148">
        <v>441</v>
      </c>
      <c r="U244" s="148">
        <v>734</v>
      </c>
      <c r="V244" s="114">
        <f t="shared" si="87"/>
        <v>1175</v>
      </c>
      <c r="W244" s="148">
        <v>166</v>
      </c>
      <c r="X244" s="148">
        <v>428</v>
      </c>
      <c r="Y244" s="114">
        <f t="shared" si="88"/>
        <v>594</v>
      </c>
      <c r="Z244">
        <v>216</v>
      </c>
      <c r="AA244">
        <v>356</v>
      </c>
      <c r="AB244" s="114">
        <f t="shared" si="89"/>
        <v>572</v>
      </c>
      <c r="AC244" s="148">
        <v>197</v>
      </c>
      <c r="AD244" s="148">
        <v>197</v>
      </c>
      <c r="AE244" s="114">
        <f t="shared" si="90"/>
        <v>394</v>
      </c>
      <c r="AF244" s="148">
        <v>463</v>
      </c>
      <c r="AG244" s="148">
        <v>505</v>
      </c>
      <c r="AH244" s="114">
        <f t="shared" si="91"/>
        <v>968</v>
      </c>
      <c r="AJ244" s="40"/>
    </row>
    <row r="245" spans="1:36" x14ac:dyDescent="0.3">
      <c r="K245" s="148"/>
      <c r="Q245" s="148"/>
      <c r="T245" s="148"/>
      <c r="W245" s="148"/>
      <c r="AC245" s="148"/>
      <c r="AF245" s="148"/>
    </row>
    <row r="246" spans="1:36" x14ac:dyDescent="0.3">
      <c r="B246" s="40"/>
    </row>
  </sheetData>
  <mergeCells count="66">
    <mergeCell ref="AF127:AG127"/>
    <mergeCell ref="Q127:R127"/>
    <mergeCell ref="T127:U127"/>
    <mergeCell ref="W127:X127"/>
    <mergeCell ref="Z127:AA127"/>
    <mergeCell ref="AC127:AD127"/>
    <mergeCell ref="B127:C127"/>
    <mergeCell ref="E127:F127"/>
    <mergeCell ref="H127:I127"/>
    <mergeCell ref="K127:L127"/>
    <mergeCell ref="N127:O127"/>
    <mergeCell ref="Q99:R99"/>
    <mergeCell ref="T99:U99"/>
    <mergeCell ref="W99:X99"/>
    <mergeCell ref="Z99:AA99"/>
    <mergeCell ref="AC99:AD99"/>
    <mergeCell ref="AF99:AG99"/>
    <mergeCell ref="T71:U71"/>
    <mergeCell ref="W71:X71"/>
    <mergeCell ref="Z71:AA71"/>
    <mergeCell ref="AC71:AD71"/>
    <mergeCell ref="AF71:AG71"/>
    <mergeCell ref="B99:C99"/>
    <mergeCell ref="E99:F99"/>
    <mergeCell ref="H99:I99"/>
    <mergeCell ref="K99:L99"/>
    <mergeCell ref="N99:O99"/>
    <mergeCell ref="B71:C71"/>
    <mergeCell ref="E71:F71"/>
    <mergeCell ref="H71:I71"/>
    <mergeCell ref="K71:L71"/>
    <mergeCell ref="N71:O71"/>
    <mergeCell ref="Q71:R71"/>
    <mergeCell ref="Q43:R43"/>
    <mergeCell ref="T43:U43"/>
    <mergeCell ref="W43:X43"/>
    <mergeCell ref="Z43:AA43"/>
    <mergeCell ref="AC43:AD43"/>
    <mergeCell ref="AF43:AG43"/>
    <mergeCell ref="T4:U4"/>
    <mergeCell ref="W4:X4"/>
    <mergeCell ref="Z4:AA4"/>
    <mergeCell ref="AC4:AD4"/>
    <mergeCell ref="AF4:AG4"/>
    <mergeCell ref="B43:C43"/>
    <mergeCell ref="E43:F43"/>
    <mergeCell ref="H43:I43"/>
    <mergeCell ref="K43:L43"/>
    <mergeCell ref="N43:O43"/>
    <mergeCell ref="Q4:R4"/>
    <mergeCell ref="B4:C4"/>
    <mergeCell ref="E4:F4"/>
    <mergeCell ref="H4:I4"/>
    <mergeCell ref="K4:L4"/>
    <mergeCell ref="N4:O4"/>
    <mergeCell ref="B155:C155"/>
    <mergeCell ref="E155:F155"/>
    <mergeCell ref="H155:I155"/>
    <mergeCell ref="K155:L155"/>
    <mergeCell ref="N155:O155"/>
    <mergeCell ref="AF155:AG155"/>
    <mergeCell ref="Q155:R155"/>
    <mergeCell ref="T155:U155"/>
    <mergeCell ref="W155:X155"/>
    <mergeCell ref="Z155:AA155"/>
    <mergeCell ref="AC155:AD155"/>
  </mergeCells>
  <hyperlinks>
    <hyperlink ref="A2" r:id="rId1" xr:uid="{AEE484AE-4CDF-4761-8B80-763FE674B48D}"/>
    <hyperlink ref="A190" r:id="rId2" xr:uid="{99E25FA8-EC45-4A44-AB5B-3536473A3A7F}"/>
    <hyperlink ref="A218" r:id="rId3" display="Year 2022" xr:uid="{38259EAD-DA13-4F86-BD65-455229CE20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77ae0b-8846-46c7-b228-88e591130265">
      <UserInfo>
        <DisplayName>Nora Balanji</DisplayName>
        <AccountId>6</AccountId>
        <AccountType/>
      </UserInfo>
      <UserInfo>
        <DisplayName>Tiffany Fong</DisplayName>
        <AccountId>9</AccountId>
        <AccountType/>
      </UserInfo>
      <UserInfo>
        <DisplayName>Jason Thompson</DisplayName>
        <AccountId>190</AccountId>
        <AccountType/>
      </UserInfo>
      <UserInfo>
        <DisplayName>Elizabeth Marquez</DisplayName>
        <AccountId>79</AccountId>
        <AccountType/>
      </UserInfo>
      <UserInfo>
        <DisplayName>Andre Balanji</DisplayName>
        <AccountId>18</AccountId>
        <AccountType/>
      </UserInfo>
      <UserInfo>
        <DisplayName>John Balagtas</DisplayName>
        <AccountId>188</AccountId>
        <AccountType/>
      </UserInfo>
      <UserInfo>
        <DisplayName>Amanda Millatt</DisplayName>
        <AccountId>211</AccountId>
        <AccountType/>
      </UserInfo>
      <UserInfo>
        <DisplayName>Emily Johnson</DisplayName>
        <AccountId>46</AccountId>
        <AccountType/>
      </UserInfo>
      <UserInfo>
        <DisplayName>Sabrina Moran-Gomez</DisplayName>
        <AccountId>214</AccountId>
        <AccountType/>
      </UserInfo>
      <UserInfo>
        <DisplayName>Riley Carpenter</DisplayName>
        <AccountId>112</AccountId>
        <AccountType/>
      </UserInfo>
      <UserInfo>
        <DisplayName>Gaby Acosta</DisplayName>
        <AccountId>429</AccountId>
        <AccountType/>
      </UserInfo>
      <UserInfo>
        <DisplayName>Raul Vazquez</DisplayName>
        <AccountId>426</AccountId>
        <AccountType/>
      </UserInfo>
    </SharedWithUsers>
    <TaxCatchAll xmlns="9577ae0b-8846-46c7-b228-88e591130265" xsi:nil="true"/>
    <lcf76f155ced4ddcb4097134ff3c332f xmlns="e964dbef-253f-47bc-9b97-9b1be0f310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1A01613B6B949B8E330BFB30D0D42" ma:contentTypeVersion="16" ma:contentTypeDescription="Create a new document." ma:contentTypeScope="" ma:versionID="deff3bcf7d7c3f30171be4ca67b934e0">
  <xsd:schema xmlns:xsd="http://www.w3.org/2001/XMLSchema" xmlns:xs="http://www.w3.org/2001/XMLSchema" xmlns:p="http://schemas.microsoft.com/office/2006/metadata/properties" xmlns:ns2="e964dbef-253f-47bc-9b97-9b1be0f310b3" xmlns:ns3="9577ae0b-8846-46c7-b228-88e591130265" targetNamespace="http://schemas.microsoft.com/office/2006/metadata/properties" ma:root="true" ma:fieldsID="b5237b57bbcab67f9a5e9019f99db6fa" ns2:_="" ns3:_="">
    <xsd:import namespace="e964dbef-253f-47bc-9b97-9b1be0f310b3"/>
    <xsd:import namespace="9577ae0b-8846-46c7-b228-88e591130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4dbef-253f-47bc-9b97-9b1be0f31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9035c0-a1ea-4f74-99ae-9e99f6b64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0b-8846-46c7-b228-88e591130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9c4d55f-4008-425f-8c6d-c0d56917521b}" ma:internalName="TaxCatchAll" ma:showField="CatchAllData" ma:web="9577ae0b-8846-46c7-b228-88e591130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AEBC9-8BED-415E-8884-9EF6C2BE3B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DE8642-C8DE-490D-BC09-260560ABCF15}">
  <ds:schemaRefs>
    <ds:schemaRef ds:uri="http://schemas.microsoft.com/office/2006/documentManagement/types"/>
    <ds:schemaRef ds:uri="http://purl.org/dc/elements/1.1/"/>
    <ds:schemaRef ds:uri="9577ae0b-8846-46c7-b228-88e591130265"/>
    <ds:schemaRef ds:uri="e964dbef-253f-47bc-9b97-9b1be0f310b3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98F4C0-1A0B-4F85-A19C-75106084F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4dbef-253f-47bc-9b97-9b1be0f310b3"/>
    <ds:schemaRef ds:uri="9577ae0b-8846-46c7-b228-88e591130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13f11c3-4268-4f6a-8d3b-c7e650183e78}" enabled="0" method="" siteId="{313f11c3-4268-4f6a-8d3b-c7e650183e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Beach (2023)</vt:lpstr>
      <vt:lpstr>Race_Ethnicity (2023)</vt:lpstr>
      <vt:lpstr>RACE BY YEAR</vt:lpstr>
      <vt:lpstr>GEN AND TOTAL BY YEAR</vt:lpstr>
      <vt:lpstr>US Population 2020</vt:lpstr>
      <vt:lpstr>CT 2021</vt:lpstr>
      <vt:lpstr>Zip and Year</vt:lpstr>
      <vt:lpstr>Zip, Gender, Age by Year</vt:lpstr>
    </vt:vector>
  </TitlesOfParts>
  <Manager/>
  <Company>City of Long Beach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 Figueroa</dc:creator>
  <cp:keywords/>
  <dc:description/>
  <cp:lastModifiedBy>Yash Madan</cp:lastModifiedBy>
  <cp:revision/>
  <dcterms:created xsi:type="dcterms:W3CDTF">2021-01-31T18:49:58Z</dcterms:created>
  <dcterms:modified xsi:type="dcterms:W3CDTF">2025-10-18T02:22:35Z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0x0101002051A01613B6B949B8E330BFB30D0D42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